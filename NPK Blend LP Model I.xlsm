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hodo\OneDrive - Sirius Minerals PLC\Documents\Docs\"/>
    </mc:Choice>
  </mc:AlternateContent>
  <xr:revisionPtr revIDLastSave="0" documentId="13_ncr:1_{1C5FF245-708B-4E0C-985D-DA084849FFC8}" xr6:coauthVersionLast="41" xr6:coauthVersionMax="41" xr10:uidLastSave="{00000000-0000-0000-0000-000000000000}"/>
  <workbookProtection workbookAlgorithmName="SHA-512" workbookHashValue="qPIyWsH2/+Nll6Ed/sZdqlHFBTUkNB46nXcw42p83BwR3vU9eE45jKCDJcbOjiVbk2HmyoajXE43gwQaxg6AUw==" workbookSaltValue="50snuHBPMADr6yn5IQzVAA==" workbookSpinCount="100000" lockStructure="1"/>
  <bookViews>
    <workbookView xWindow="-30828" yWindow="-108" windowWidth="30936" windowHeight="16896" tabRatio="662" activeTab="1" xr2:uid="{00000000-000D-0000-FFFF-FFFF00000000}"/>
  </bookViews>
  <sheets>
    <sheet name="User Info" sheetId="6" r:id="rId1"/>
    <sheet name="NPK LP Model" sheetId="1" r:id="rId2"/>
    <sheet name="Results_old" sheetId="2" state="hidden" r:id="rId3"/>
    <sheet name="Fertilizer Cost LP Model" sheetId="9" state="hidden" r:id="rId4"/>
    <sheet name="Print" sheetId="8" state="hidden" r:id="rId5"/>
    <sheet name="NPK_LP_Model_Mass" sheetId="5" state="hidden" r:id="rId6"/>
  </sheets>
  <definedNames>
    <definedName name="solver_adj" localSheetId="3" hidden="1">'Fertilizer Cost LP Model'!$C$129:$Q$129</definedName>
    <definedName name="solver_adj" localSheetId="1" hidden="1">'NPK LP Model'!$B$72:$M$72</definedName>
    <definedName name="solver_adj" localSheetId="5" hidden="1">NPK_LP_Model_Mass!$C$72:$K$72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ng" localSheetId="3" hidden="1">1</definedName>
    <definedName name="solver_eng" localSheetId="1" hidden="1">2</definedName>
    <definedName name="solver_eng" localSheetId="5" hidden="1">2</definedName>
    <definedName name="solver_est" localSheetId="1" hidden="1">1</definedName>
    <definedName name="solver_est" localSheetId="5" hidden="1">1</definedName>
    <definedName name="solver_itr" localSheetId="1" hidden="1">2147483647</definedName>
    <definedName name="solver_itr" localSheetId="5" hidden="1">2147483647</definedName>
    <definedName name="solver_lhs1" localSheetId="3" hidden="1">'Fertilizer Cost LP Model'!$R$130</definedName>
    <definedName name="solver_lhs1" localSheetId="1" hidden="1">'NPK LP Model'!$N$74:$N$77</definedName>
    <definedName name="solver_lhs1" localSheetId="5" hidden="1">NPK_LP_Model_Mass!$L$74</definedName>
    <definedName name="solver_lhs10" localSheetId="3" hidden="1">'Fertilizer Cost LP Model'!$R$121</definedName>
    <definedName name="solver_lhs10" localSheetId="1" hidden="1">'NPK LP Model'!$L$83</definedName>
    <definedName name="solver_lhs10" localSheetId="5" hidden="1">NPK_LP_Model_Mass!$L$83</definedName>
    <definedName name="solver_lhs11" localSheetId="3" hidden="1">'Fertilizer Cost LP Model'!$R$115</definedName>
    <definedName name="solver_lhs11" localSheetId="1" hidden="1">'NPK LP Model'!$L$90</definedName>
    <definedName name="solver_lhs11" localSheetId="5" hidden="1">NPK_LP_Model_Mass!$L$84</definedName>
    <definedName name="solver_lhs12" localSheetId="3" hidden="1">'Fertilizer Cost LP Model'!$R$116</definedName>
    <definedName name="solver_lhs12" localSheetId="1" hidden="1">'NPK LP Model'!$L$81</definedName>
    <definedName name="solver_lhs12" localSheetId="5" hidden="1">NPK_LP_Model_Mass!$L$81</definedName>
    <definedName name="solver_lhs13" localSheetId="3" hidden="1">'Fertilizer Cost LP Model'!$R$141</definedName>
    <definedName name="solver_lhs13" localSheetId="1" hidden="1">'NPK LP Model'!$N$64</definedName>
    <definedName name="solver_lhs13" localSheetId="5" hidden="1">NPK_LP_Model_Mass!$L$81</definedName>
    <definedName name="solver_lhs14" localSheetId="3" hidden="1">'Fertilizer Cost LP Model'!$R$141</definedName>
    <definedName name="solver_lhs14" localSheetId="1" hidden="1">'NPK LP Model'!$N$57:$N$60</definedName>
    <definedName name="solver_lhs14" localSheetId="5" hidden="1">NPK_LP_Model_Mass!$L$82</definedName>
    <definedName name="solver_lhs15" localSheetId="3" hidden="1">'Fertilizer Cost LP Model'!$R$140</definedName>
    <definedName name="solver_lhs15" localSheetId="1" hidden="1">'NPK LP Model'!$N$61:$N$63</definedName>
    <definedName name="solver_lhs15" localSheetId="5" hidden="1">NPK_LP_Model_Mass!$L$83</definedName>
    <definedName name="solver_lhs16" localSheetId="3" hidden="1">'Fertilizer Cost LP Model'!$R$111:$R$114</definedName>
    <definedName name="solver_lhs16" localSheetId="1" hidden="1">'NPK LP Model'!$N$65</definedName>
    <definedName name="solver_lhs16" localSheetId="5" hidden="1">NPK_LP_Model_Mass!$L$84</definedName>
    <definedName name="solver_lhs17" localSheetId="3" hidden="1">'Fertilizer Cost LP Model'!$R$115:$R$121</definedName>
    <definedName name="solver_lhs17" localSheetId="1" hidden="1">'NPK LP Model'!$N$66</definedName>
    <definedName name="solver_lhs17" localSheetId="5" hidden="1">NPK_LP_Model_Mass!$L$61</definedName>
    <definedName name="solver_lhs18" localSheetId="3" hidden="1">'Fertilizer Cost LP Model'!$R$121</definedName>
    <definedName name="solver_lhs18" localSheetId="1" hidden="1">'NPK LP Model'!$N$64</definedName>
    <definedName name="solver_lhs18" localSheetId="5" hidden="1">NPK_LP_Model_Mass!$L$61</definedName>
    <definedName name="solver_lhs19" localSheetId="3" hidden="1">'Fertilizer Cost LP Model'!$R$113</definedName>
    <definedName name="solver_lhs19" localSheetId="1" hidden="1">'NPK LP Model'!$C$55</definedName>
    <definedName name="solver_lhs19" localSheetId="5" hidden="1">NPK_LP_Model_Mass!$L$61</definedName>
    <definedName name="solver_lhs2" localSheetId="3" hidden="1">'Fertilizer Cost LP Model'!$R$131:$R$133</definedName>
    <definedName name="solver_lhs2" localSheetId="1" hidden="1">'NPK LP Model'!$N$82</definedName>
    <definedName name="solver_lhs2" localSheetId="5" hidden="1">NPK_LP_Model_Mass!$L$75</definedName>
    <definedName name="solver_lhs20" localSheetId="3" hidden="1">'Fertilizer Cost LP Model'!$R$114</definedName>
    <definedName name="solver_lhs20" localSheetId="1" hidden="1">'NPK LP Model'!$D$55</definedName>
    <definedName name="solver_lhs20" localSheetId="5" hidden="1">NPK_LP_Model_Mass!$L$61</definedName>
    <definedName name="solver_lhs21" localSheetId="3" hidden="1">'Fertilizer Cost LP Model'!$R$115</definedName>
    <definedName name="solver_lhs21" localSheetId="1" hidden="1">'NPK LP Model'!$E$55</definedName>
    <definedName name="solver_lhs21" localSheetId="5" hidden="1">NPK_LP_Model_Mass!$L$61</definedName>
    <definedName name="solver_lhs22" localSheetId="3" hidden="1">'Fertilizer Cost LP Model'!$R$116</definedName>
    <definedName name="solver_lhs22" localSheetId="1" hidden="1">'NPK LP Model'!$F$55</definedName>
    <definedName name="solver_lhs22" localSheetId="5" hidden="1">NPK_LP_Model_Mass!$L$62</definedName>
    <definedName name="solver_lhs23" localSheetId="3" hidden="1">'Fertilizer Cost LP Model'!$R$117</definedName>
    <definedName name="solver_lhs23" localSheetId="1" hidden="1">'NPK LP Model'!$G$55</definedName>
    <definedName name="solver_lhs23" localSheetId="5" hidden="1">NPK_LP_Model_Mass!$L$61</definedName>
    <definedName name="solver_lhs24" localSheetId="3" hidden="1">'Fertilizer Cost LP Model'!$R$118</definedName>
    <definedName name="solver_lhs24" localSheetId="1" hidden="1">'NPK LP Model'!$N$64</definedName>
    <definedName name="solver_lhs24" localSheetId="5" hidden="1">NPK_LP_Model_Mass!$L$62</definedName>
    <definedName name="solver_lhs25" localSheetId="3" hidden="1">'Fertilizer Cost LP Model'!$R$119</definedName>
    <definedName name="solver_lhs25" localSheetId="1" hidden="1">'NPK LP Model'!$N$62</definedName>
    <definedName name="solver_lhs25" localSheetId="5" hidden="1">NPK_LP_Model_Mass!$L$62</definedName>
    <definedName name="solver_lhs26" localSheetId="3" hidden="1">'Fertilizer Cost LP Model'!$R$120</definedName>
    <definedName name="solver_lhs26" localSheetId="1" hidden="1">'NPK LP Model'!$N$57:$N$60</definedName>
    <definedName name="solver_lhs26" localSheetId="5" hidden="1">NPK_LP_Model_Mass!$L$57:$L$60</definedName>
    <definedName name="solver_lhs27" localSheetId="3" hidden="1">'Fertilizer Cost LP Model'!$R$121</definedName>
    <definedName name="solver_lhs27" localSheetId="1" hidden="1">'NPK LP Model'!$N$62</definedName>
    <definedName name="solver_lhs27" localSheetId="5" hidden="1">NPK_LP_Model_Mass!$L$62</definedName>
    <definedName name="solver_lhs28" localSheetId="3" hidden="1">'Fertilizer Cost LP Model'!$R$121</definedName>
    <definedName name="solver_lhs28" localSheetId="1" hidden="1">'NPK LP Model'!$N$62</definedName>
    <definedName name="solver_lhs28" localSheetId="5" hidden="1">NPK_LP_Model_Mass!$L$62</definedName>
    <definedName name="solver_lhs29" localSheetId="3" hidden="1">'Fertilizer Cost LP Model'!$R$111:$R$114</definedName>
    <definedName name="solver_lhs29" localSheetId="1" hidden="1">'NPK LP Model'!$N$62</definedName>
    <definedName name="solver_lhs29" localSheetId="5" hidden="1">NPK_LP_Model_Mass!$L$62</definedName>
    <definedName name="solver_lhs3" localSheetId="3" hidden="1">'Fertilizer Cost LP Model'!$R$134:$R$140</definedName>
    <definedName name="solver_lhs3" localSheetId="1" hidden="1">'NPK LP Model'!$N$83</definedName>
    <definedName name="solver_lhs3" localSheetId="5" hidden="1">NPK_LP_Model_Mass!$L$76</definedName>
    <definedName name="solver_lhs30" localSheetId="3" hidden="1">'Fertilizer Cost LP Model'!$R$111</definedName>
    <definedName name="solver_lhs30" localSheetId="1" hidden="1">'NPK LP Model'!$N$62</definedName>
    <definedName name="solver_lhs30" localSheetId="5" hidden="1">NPK_LP_Model_Mass!$L$62</definedName>
    <definedName name="solver_lhs31" localSheetId="3" hidden="1">'Fertilizer Cost LP Model'!$R$112</definedName>
    <definedName name="solver_lhs31" localSheetId="1" hidden="1">'NPK LP Model'!$N$61</definedName>
    <definedName name="solver_lhs31" localSheetId="5" hidden="1">NPK_LP_Model_Mass!$L$61</definedName>
    <definedName name="solver_lhs32" localSheetId="3" hidden="1">'Fertilizer Cost LP Model'!$R$113</definedName>
    <definedName name="solver_lhs32" localSheetId="1" hidden="1">'NPK LP Model'!$N$62</definedName>
    <definedName name="solver_lhs32" localSheetId="5" hidden="1">NPK_LP_Model_Mass!$L$62</definedName>
    <definedName name="solver_lhs33" localSheetId="3" hidden="1">'Fertilizer Cost LP Model'!$R$114</definedName>
    <definedName name="solver_lhs33" localSheetId="1" hidden="1">'NPK LP Model'!$N$62</definedName>
    <definedName name="solver_lhs33" localSheetId="5" hidden="1">NPK_LP_Model_Mass!$L$62</definedName>
    <definedName name="solver_lhs34" localSheetId="3" hidden="1">'Fertilizer Cost LP Model'!$R$115</definedName>
    <definedName name="solver_lhs34" localSheetId="1" hidden="1">'NPK LP Model'!$N$62</definedName>
    <definedName name="solver_lhs34" localSheetId="5" hidden="1">NPK_LP_Model_Mass!$L$62</definedName>
    <definedName name="solver_lhs35" localSheetId="3" hidden="1">'Fertilizer Cost LP Model'!$R$116</definedName>
    <definedName name="solver_lhs35" localSheetId="1" hidden="1">'NPK LP Model'!$N$62</definedName>
    <definedName name="solver_lhs35" localSheetId="5" hidden="1">NPK_LP_Model_Mass!$L$62</definedName>
    <definedName name="solver_lhs36" localSheetId="3" hidden="1">'Fertilizer Cost LP Model'!$R$117</definedName>
    <definedName name="solver_lhs36" localSheetId="1" hidden="1">'NPK LP Model'!$N$63</definedName>
    <definedName name="solver_lhs36" localSheetId="5" hidden="1">NPK_LP_Model_Mass!$L$63</definedName>
    <definedName name="solver_lhs37" localSheetId="3" hidden="1">'Fertilizer Cost LP Model'!$R$118</definedName>
    <definedName name="solver_lhs37" localSheetId="1" hidden="1">'NPK LP Model'!$N$62</definedName>
    <definedName name="solver_lhs37" localSheetId="5" hidden="1">NPK_LP_Model_Mass!$L$62</definedName>
    <definedName name="solver_lhs38" localSheetId="3" hidden="1">'Fertilizer Cost LP Model'!$R$119</definedName>
    <definedName name="solver_lhs38" localSheetId="1" hidden="1">'NPK LP Model'!$N$63</definedName>
    <definedName name="solver_lhs38" localSheetId="5" hidden="1">NPK_LP_Model_Mass!$L$63</definedName>
    <definedName name="solver_lhs39" localSheetId="3" hidden="1">'Fertilizer Cost LP Model'!$R$120</definedName>
    <definedName name="solver_lhs39" localSheetId="1" hidden="1">'NPK LP Model'!$N$63</definedName>
    <definedName name="solver_lhs39" localSheetId="5" hidden="1">NPK_LP_Model_Mass!$L$63</definedName>
    <definedName name="solver_lhs4" localSheetId="3" hidden="1">'Fertilizer Cost LP Model'!$R$141</definedName>
    <definedName name="solver_lhs4" localSheetId="1" hidden="1">'NPK LP Model'!$N$78</definedName>
    <definedName name="solver_lhs4" localSheetId="5" hidden="1">NPK_LP_Model_Mass!$L$77</definedName>
    <definedName name="solver_lhs40" localSheetId="3" hidden="1">'Fertilizer Cost LP Model'!$R$121</definedName>
    <definedName name="solver_lhs40" localSheetId="1" hidden="1">'NPK LP Model'!$N$63</definedName>
    <definedName name="solver_lhs40" localSheetId="5" hidden="1">NPK_LP_Model_Mass!$L$63</definedName>
    <definedName name="solver_lhs41" localSheetId="3" hidden="1">'Fertilizer Cost LP Model'!$R$121</definedName>
    <definedName name="solver_lhs41" localSheetId="1" hidden="1">'NPK LP Model'!$N$63</definedName>
    <definedName name="solver_lhs41" localSheetId="5" hidden="1">NPK_LP_Model_Mass!$L$63</definedName>
    <definedName name="solver_lhs42" localSheetId="3" hidden="1">'Fertilizer Cost LP Model'!$R$111:$R$114</definedName>
    <definedName name="solver_lhs42" localSheetId="1" hidden="1">'NPK LP Model'!$N$63</definedName>
    <definedName name="solver_lhs42" localSheetId="5" hidden="1">NPK_LP_Model_Mass!$L$63</definedName>
    <definedName name="solver_lhs43" localSheetId="3" hidden="1">'Fertilizer Cost LP Model'!$R$111</definedName>
    <definedName name="solver_lhs43" localSheetId="1" hidden="1">'NPK LP Model'!$N$62</definedName>
    <definedName name="solver_lhs43" localSheetId="5" hidden="1">NPK_LP_Model_Mass!$L$62</definedName>
    <definedName name="solver_lhs44" localSheetId="3" hidden="1">'Fertilizer Cost LP Model'!$R$112</definedName>
    <definedName name="solver_lhs44" localSheetId="1" hidden="1">'NPK LP Model'!$N$63</definedName>
    <definedName name="solver_lhs44" localSheetId="5" hidden="1">NPK_LP_Model_Mass!$L$63</definedName>
    <definedName name="solver_lhs45" localSheetId="3" hidden="1">'Fertilizer Cost LP Model'!$R$113</definedName>
    <definedName name="solver_lhs45" localSheetId="1" hidden="1">'NPK LP Model'!$N$63</definedName>
    <definedName name="solver_lhs45" localSheetId="5" hidden="1">NPK_LP_Model_Mass!$L$63</definedName>
    <definedName name="solver_lhs46" localSheetId="3" hidden="1">'Fertilizer Cost LP Model'!$R$114</definedName>
    <definedName name="solver_lhs46" localSheetId="1" hidden="1">'NPK LP Model'!$N$63</definedName>
    <definedName name="solver_lhs46" localSheetId="5" hidden="1">NPK_LP_Model_Mass!$L$63</definedName>
    <definedName name="solver_lhs47" localSheetId="3" hidden="1">'Fertilizer Cost LP Model'!$R$115</definedName>
    <definedName name="solver_lhs47" localSheetId="1" hidden="1">'NPK LP Model'!$N$63</definedName>
    <definedName name="solver_lhs47" localSheetId="5" hidden="1">NPK_LP_Model_Mass!$L$63</definedName>
    <definedName name="solver_lhs48" localSheetId="3" hidden="1">'Fertilizer Cost LP Model'!$R$116</definedName>
    <definedName name="solver_lhs48" localSheetId="1" hidden="1">'NPK LP Model'!$N$63</definedName>
    <definedName name="solver_lhs48" localSheetId="5" hidden="1">NPK_LP_Model_Mass!$L$63</definedName>
    <definedName name="solver_lhs49" localSheetId="3" hidden="1">'Fertilizer Cost LP Model'!$R$117</definedName>
    <definedName name="solver_lhs49" localSheetId="1" hidden="1">'NPK LP Model'!$N$63</definedName>
    <definedName name="solver_lhs49" localSheetId="5" hidden="1">NPK_LP_Model_Mass!$L$63</definedName>
    <definedName name="solver_lhs5" localSheetId="3" hidden="1">'Fertilizer Cost LP Model'!$R$141</definedName>
    <definedName name="solver_lhs5" localSheetId="1" hidden="1">'NPK LP Model'!$N$79</definedName>
    <definedName name="solver_lhs5" localSheetId="5" hidden="1">NPK_LP_Model_Mass!$L$78</definedName>
    <definedName name="solver_lhs50" localSheetId="3" hidden="1">'Fertilizer Cost LP Model'!$R$118</definedName>
    <definedName name="solver_lhs50" localSheetId="1" hidden="1">'NPK LP Model'!$N$64</definedName>
    <definedName name="solver_lhs50" localSheetId="5" hidden="1">NPK_LP_Model_Mass!$L$64</definedName>
    <definedName name="solver_lhs51" localSheetId="3" hidden="1">'Fertilizer Cost LP Model'!$R$119</definedName>
    <definedName name="solver_lhs51" localSheetId="1" hidden="1">'NPK LP Model'!$N$64</definedName>
    <definedName name="solver_lhs51" localSheetId="5" hidden="1">NPK_LP_Model_Mass!$L$64</definedName>
    <definedName name="solver_lhs52" localSheetId="3" hidden="1">'Fertilizer Cost LP Model'!$R$120</definedName>
    <definedName name="solver_lhs52" localSheetId="1" hidden="1">'NPK LP Model'!$N$64</definedName>
    <definedName name="solver_lhs52" localSheetId="5" hidden="1">NPK_LP_Model_Mass!$L$64</definedName>
    <definedName name="solver_lhs53" localSheetId="3" hidden="1">'Fertilizer Cost LP Model'!$R$121</definedName>
    <definedName name="solver_lhs53" localSheetId="1" hidden="1">'NPK LP Model'!$N$64</definedName>
    <definedName name="solver_lhs53" localSheetId="5" hidden="1">NPK_LP_Model_Mass!$L$64</definedName>
    <definedName name="solver_lhs54" localSheetId="3" hidden="1">'Fertilizer Cost LP Model'!$R$121</definedName>
    <definedName name="solver_lhs54" localSheetId="1" hidden="1">'NPK LP Model'!$N$63</definedName>
    <definedName name="solver_lhs54" localSheetId="5" hidden="1">NPK_LP_Model_Mass!$L$63</definedName>
    <definedName name="solver_lhs55" localSheetId="3" hidden="1">'Fertilizer Cost LP Model'!$R$111:$R$114</definedName>
    <definedName name="solver_lhs55" localSheetId="1" hidden="1">'NPK LP Model'!$N$64</definedName>
    <definedName name="solver_lhs55" localSheetId="5" hidden="1">NPK_LP_Model_Mass!$L$64</definedName>
    <definedName name="solver_lhs56" localSheetId="3" hidden="1">'Fertilizer Cost LP Model'!$R$111</definedName>
    <definedName name="solver_lhs56" localSheetId="1" hidden="1">'NPK LP Model'!$N$64</definedName>
    <definedName name="solver_lhs56" localSheetId="5" hidden="1">NPK_LP_Model_Mass!$L$64</definedName>
    <definedName name="solver_lhs57" localSheetId="3" hidden="1">'Fertilizer Cost LP Model'!$R$112</definedName>
    <definedName name="solver_lhs57" localSheetId="1" hidden="1">'NPK LP Model'!$N$64</definedName>
    <definedName name="solver_lhs57" localSheetId="5" hidden="1">NPK_LP_Model_Mass!$L$64</definedName>
    <definedName name="solver_lhs58" localSheetId="3" hidden="1">'Fertilizer Cost LP Model'!$R$113</definedName>
    <definedName name="solver_lhs58" localSheetId="1" hidden="1">'NPK LP Model'!$N$64</definedName>
    <definedName name="solver_lhs58" localSheetId="5" hidden="1">NPK_LP_Model_Mass!$L$64</definedName>
    <definedName name="solver_lhs59" localSheetId="3" hidden="1">'Fertilizer Cost LP Model'!$R$114</definedName>
    <definedName name="solver_lhs59" localSheetId="1" hidden="1">'NPK LP Model'!$N$64</definedName>
    <definedName name="solver_lhs59" localSheetId="5" hidden="1">NPK_LP_Model_Mass!$L$64</definedName>
    <definedName name="solver_lhs6" localSheetId="3" hidden="1">'Fertilizer Cost LP Model'!$R$140</definedName>
    <definedName name="solver_lhs6" localSheetId="1" hidden="1">'NPK LP Model'!$N$80</definedName>
    <definedName name="solver_lhs6" localSheetId="5" hidden="1">NPK_LP_Model_Mass!$L$79</definedName>
    <definedName name="solver_lhs60" localSheetId="3" hidden="1">'Fertilizer Cost LP Model'!$R$115</definedName>
    <definedName name="solver_lhs60" localSheetId="1" hidden="1">'NPK LP Model'!$N$64</definedName>
    <definedName name="solver_lhs60" localSheetId="5" hidden="1">NPK_LP_Model_Mass!$L$64</definedName>
    <definedName name="solver_lhs61" localSheetId="3" hidden="1">'Fertilizer Cost LP Model'!$R$116</definedName>
    <definedName name="solver_lhs61" localSheetId="1" hidden="1">'NPK LP Model'!$N$64</definedName>
    <definedName name="solver_lhs61" localSheetId="5" hidden="1">NPK_LP_Model_Mass!$L$64</definedName>
    <definedName name="solver_lhs62" localSheetId="3" hidden="1">'Fertilizer Cost LP Model'!$R$117</definedName>
    <definedName name="solver_lhs62" localSheetId="1" hidden="1">'NPK LP Model'!$N$65</definedName>
    <definedName name="solver_lhs62" localSheetId="5" hidden="1">NPK_LP_Model_Mass!$L$65</definedName>
    <definedName name="solver_lhs63" localSheetId="3" hidden="1">'Fertilizer Cost LP Model'!$R$118</definedName>
    <definedName name="solver_lhs63" localSheetId="1" hidden="1">'NPK LP Model'!$N$64</definedName>
    <definedName name="solver_lhs63" localSheetId="5" hidden="1">NPK_LP_Model_Mass!$L$64</definedName>
    <definedName name="solver_lhs64" localSheetId="3" hidden="1">'Fertilizer Cost LP Model'!$R$119</definedName>
    <definedName name="solver_lhs64" localSheetId="1" hidden="1">'NPK LP Model'!$N$65</definedName>
    <definedName name="solver_lhs64" localSheetId="5" hidden="1">NPK_LP_Model_Mass!$L$65</definedName>
    <definedName name="solver_lhs65" localSheetId="3" hidden="1">'Fertilizer Cost LP Model'!$R$120</definedName>
    <definedName name="solver_lhs65" localSheetId="1" hidden="1">'NPK LP Model'!$N$65</definedName>
    <definedName name="solver_lhs65" localSheetId="5" hidden="1">NPK_LP_Model_Mass!$L$65</definedName>
    <definedName name="solver_lhs66" localSheetId="3" hidden="1">'Fertilizer Cost LP Model'!$R$121</definedName>
    <definedName name="solver_lhs66" localSheetId="1" hidden="1">'NPK LP Model'!$N$64</definedName>
    <definedName name="solver_lhs66" localSheetId="5" hidden="1">NPK_LP_Model_Mass!$L$64</definedName>
    <definedName name="solver_lhs67" localSheetId="3" hidden="1">'Fertilizer Cost LP Model'!$R$121</definedName>
    <definedName name="solver_lhs67" localSheetId="1" hidden="1">'NPK LP Model'!$N$65</definedName>
    <definedName name="solver_lhs67" localSheetId="5" hidden="1">NPK_LP_Model_Mass!$L$65</definedName>
    <definedName name="solver_lhs68" localSheetId="1" hidden="1">'NPK LP Model'!$N$65</definedName>
    <definedName name="solver_lhs68" localSheetId="5" hidden="1">NPK_LP_Model_Mass!$L$65</definedName>
    <definedName name="solver_lhs69" localSheetId="1" hidden="1">'NPK LP Model'!$N$65</definedName>
    <definedName name="solver_lhs69" localSheetId="5" hidden="1">NPK_LP_Model_Mass!$L$65</definedName>
    <definedName name="solver_lhs7" localSheetId="3" hidden="1">'Fertilizer Cost LP Model'!$R$111</definedName>
    <definedName name="solver_lhs7" localSheetId="1" hidden="1">'NPK LP Model'!$N$81</definedName>
    <definedName name="solver_lhs7" localSheetId="5" hidden="1">NPK_LP_Model_Mass!$L$80</definedName>
    <definedName name="solver_lhs70" localSheetId="1" hidden="1">'NPK LP Model'!$N$65</definedName>
    <definedName name="solver_lhs70" localSheetId="5" hidden="1">NPK_LP_Model_Mass!$L$65</definedName>
    <definedName name="solver_lhs71" localSheetId="1" hidden="1">'NPK LP Model'!$N$65</definedName>
    <definedName name="solver_lhs71" localSheetId="5" hidden="1">NPK_LP_Model_Mass!$L$65</definedName>
    <definedName name="solver_lhs72" localSheetId="1" hidden="1">'NPK LP Model'!$N$65</definedName>
    <definedName name="solver_lhs72" localSheetId="5" hidden="1">NPK_LP_Model_Mass!$L$65</definedName>
    <definedName name="solver_lhs73" localSheetId="1" hidden="1">'NPK LP Model'!$N$65</definedName>
    <definedName name="solver_lhs73" localSheetId="5" hidden="1">NPK_LP_Model_Mass!$L$65</definedName>
    <definedName name="solver_lhs74" localSheetId="1" hidden="1">'NPK LP Model'!$N$65</definedName>
    <definedName name="solver_lhs74" localSheetId="5" hidden="1">NPK_LP_Model_Mass!$L$65</definedName>
    <definedName name="solver_lhs75" localSheetId="1" hidden="1">'NPK LP Model'!$N$66</definedName>
    <definedName name="solver_lhs75" localSheetId="5" hidden="1">NPK_LP_Model_Mass!$L$66</definedName>
    <definedName name="solver_lhs76" localSheetId="1" hidden="1">'NPK LP Model'!$N$65</definedName>
    <definedName name="solver_lhs76" localSheetId="5" hidden="1">NPK_LP_Model_Mass!$L$65</definedName>
    <definedName name="solver_lhs77" localSheetId="1" hidden="1">'NPK LP Model'!$N$66</definedName>
    <definedName name="solver_lhs77" localSheetId="5" hidden="1">NPK_LP_Model_Mass!$L$66</definedName>
    <definedName name="solver_lhs78" localSheetId="1" hidden="1">'NPK LP Model'!$N$65</definedName>
    <definedName name="solver_lhs78" localSheetId="5" hidden="1">NPK_LP_Model_Mass!$L$65</definedName>
    <definedName name="solver_lhs79" localSheetId="1" hidden="1">'NPK LP Model'!$N$66</definedName>
    <definedName name="solver_lhs79" localSheetId="5" hidden="1">NPK_LP_Model_Mass!$L$66</definedName>
    <definedName name="solver_lhs8" localSheetId="3" hidden="1">'Fertilizer Cost LP Model'!$R$112:$R$114</definedName>
    <definedName name="solver_lhs8" localSheetId="1" hidden="1">'NPK LP Model'!$L$81</definedName>
    <definedName name="solver_lhs8" localSheetId="5" hidden="1">NPK_LP_Model_Mass!$L$81</definedName>
    <definedName name="solver_lhs80" localSheetId="1" hidden="1">'NPK LP Model'!$N$66</definedName>
    <definedName name="solver_lhs80" localSheetId="5" hidden="1">NPK_LP_Model_Mass!$L$66</definedName>
    <definedName name="solver_lhs81" localSheetId="1" hidden="1">'NPK LP Model'!$N$66</definedName>
    <definedName name="solver_lhs81" localSheetId="5" hidden="1">NPK_LP_Model_Mass!$L$66</definedName>
    <definedName name="solver_lhs82" localSheetId="1" hidden="1">'NPK LP Model'!$N$66</definedName>
    <definedName name="solver_lhs82" localSheetId="5" hidden="1">NPK_LP_Model_Mass!$L$66</definedName>
    <definedName name="solver_lhs83" localSheetId="1" hidden="1">'NPK LP Model'!$N$66</definedName>
    <definedName name="solver_lhs83" localSheetId="5" hidden="1">NPK_LP_Model_Mass!$L$66</definedName>
    <definedName name="solver_lhs84" localSheetId="1" hidden="1">'NPK LP Model'!$N$66</definedName>
    <definedName name="solver_lhs84" localSheetId="5" hidden="1">NPK_LP_Model_Mass!$L$66</definedName>
    <definedName name="solver_lhs85" localSheetId="1" hidden="1">'NPK LP Model'!$N$66</definedName>
    <definedName name="solver_lhs85" localSheetId="5" hidden="1">NPK_LP_Model_Mass!$L$66</definedName>
    <definedName name="solver_lhs86" localSheetId="1" hidden="1">'NPK LP Model'!$N$66</definedName>
    <definedName name="solver_lhs86" localSheetId="5" hidden="1">NPK_LP_Model_Mass!$L$66</definedName>
    <definedName name="solver_lhs87" localSheetId="1" hidden="1">'NPK LP Model'!$N$66</definedName>
    <definedName name="solver_lhs87" localSheetId="5" hidden="1">NPK_LP_Model_Mass!$L$66</definedName>
    <definedName name="solver_lhs88" localSheetId="1" hidden="1">'NPK LP Model'!$N$66</definedName>
    <definedName name="solver_lhs88" localSheetId="5" hidden="1">NPK_LP_Model_Mass!$L$66</definedName>
    <definedName name="solver_lhs89" localSheetId="1" hidden="1">'NPK LP Model'!$N$66</definedName>
    <definedName name="solver_lhs89" localSheetId="5" hidden="1">NPK_LP_Model_Mass!$L$66</definedName>
    <definedName name="solver_lhs9" localSheetId="3" hidden="1">'Fertilizer Cost LP Model'!$R$115:$R$121</definedName>
    <definedName name="solver_lhs9" localSheetId="1" hidden="1">'NPK LP Model'!$L$82</definedName>
    <definedName name="solver_lhs9" localSheetId="5" hidden="1">NPK_LP_Model_Mass!$L$82</definedName>
    <definedName name="solver_lhs90" localSheetId="1" hidden="1">'NPK LP Model'!$N$66</definedName>
    <definedName name="solver_lhs90" localSheetId="5" hidden="1">NPK_LP_Model_Mass!$L$66</definedName>
    <definedName name="solver_lhs91" localSheetId="1" hidden="1">'NPK LP Model'!$N$66</definedName>
    <definedName name="solver_lhs91" localSheetId="5" hidden="1">NPK_LP_Model_Mass!$L$66</definedName>
    <definedName name="solver_mip" localSheetId="1" hidden="1">2147483647</definedName>
    <definedName name="solver_mip" localSheetId="5" hidden="1">2147483647</definedName>
    <definedName name="solver_mni" localSheetId="1" hidden="1">30</definedName>
    <definedName name="solver_mni" localSheetId="5" hidden="1">30</definedName>
    <definedName name="solver_mrt" localSheetId="1" hidden="1">0.075</definedName>
    <definedName name="solver_mrt" localSheetId="5" hidden="1">0.075</definedName>
    <definedName name="solver_msl" localSheetId="1" hidden="1">2</definedName>
    <definedName name="solver_msl" localSheetId="5" hidden="1">2</definedName>
    <definedName name="solver_neg" localSheetId="3" hidden="1">1</definedName>
    <definedName name="solver_neg" localSheetId="1" hidden="1">1</definedName>
    <definedName name="solver_neg" localSheetId="5" hidden="1">1</definedName>
    <definedName name="solver_nod" localSheetId="1" hidden="1">2147483647</definedName>
    <definedName name="solver_nod" localSheetId="5" hidden="1">2147483647</definedName>
    <definedName name="solver_num" localSheetId="3" hidden="1">6</definedName>
    <definedName name="solver_num" localSheetId="1" hidden="1">7</definedName>
    <definedName name="solver_num" localSheetId="5" hidden="1">12</definedName>
    <definedName name="solver_nwt" localSheetId="1" hidden="1">1</definedName>
    <definedName name="solver_nwt" localSheetId="5" hidden="1">1</definedName>
    <definedName name="solver_opt" localSheetId="3" hidden="1">'Fertilizer Cost LP Model'!$T$128</definedName>
    <definedName name="solver_opt" localSheetId="1" hidden="1">'NPK LP Model'!$P$73</definedName>
    <definedName name="solver_opt" localSheetId="5" hidden="1">NPK_LP_Model_Mass!$N$73</definedName>
    <definedName name="solver_pre" localSheetId="3" hidden="1">0.000001</definedName>
    <definedName name="solver_pre" localSheetId="1" hidden="1">0.000001</definedName>
    <definedName name="solver_pre" localSheetId="5" hidden="1">0.000001</definedName>
    <definedName name="solver_rbv" localSheetId="1" hidden="1">1</definedName>
    <definedName name="solver_rbv" localSheetId="5" hidden="1">1</definedName>
    <definedName name="solver_rel1" localSheetId="3" hidden="1">3</definedName>
    <definedName name="solver_rel1" localSheetId="1" hidden="1">2</definedName>
    <definedName name="solver_rel1" localSheetId="5" hidden="1">2</definedName>
    <definedName name="solver_rel10" localSheetId="3" hidden="1">3</definedName>
    <definedName name="solver_rel10" localSheetId="1" hidden="1">3</definedName>
    <definedName name="solver_rel10" localSheetId="5" hidden="1">3</definedName>
    <definedName name="solver_rel11" localSheetId="3" hidden="1">3</definedName>
    <definedName name="solver_rel11" localSheetId="1" hidden="1">3</definedName>
    <definedName name="solver_rel11" localSheetId="5" hidden="1">2</definedName>
    <definedName name="solver_rel12" localSheetId="3" hidden="1">2</definedName>
    <definedName name="solver_rel12" localSheetId="1" hidden="1">3</definedName>
    <definedName name="solver_rel12" localSheetId="5" hidden="1">3</definedName>
    <definedName name="solver_rel13" localSheetId="3" hidden="1">2</definedName>
    <definedName name="solver_rel13" localSheetId="1" hidden="1">3</definedName>
    <definedName name="solver_rel13" localSheetId="5" hidden="1">2</definedName>
    <definedName name="solver_rel14" localSheetId="3" hidden="1">2</definedName>
    <definedName name="solver_rel14" localSheetId="1" hidden="1">2</definedName>
    <definedName name="solver_rel14" localSheetId="5" hidden="1">3</definedName>
    <definedName name="solver_rel15" localSheetId="3" hidden="1">3</definedName>
    <definedName name="solver_rel15" localSheetId="1" hidden="1">3</definedName>
    <definedName name="solver_rel15" localSheetId="5" hidden="1">2</definedName>
    <definedName name="solver_rel16" localSheetId="3" hidden="1">2</definedName>
    <definedName name="solver_rel16" localSheetId="1" hidden="1">2</definedName>
    <definedName name="solver_rel16" localSheetId="5" hidden="1">3</definedName>
    <definedName name="solver_rel17" localSheetId="3" hidden="1">3</definedName>
    <definedName name="solver_rel17" localSheetId="1" hidden="1">3</definedName>
    <definedName name="solver_rel17" localSheetId="5" hidden="1">3</definedName>
    <definedName name="solver_rel18" localSheetId="3" hidden="1">3</definedName>
    <definedName name="solver_rel18" localSheetId="1" hidden="1">3</definedName>
    <definedName name="solver_rel18" localSheetId="5" hidden="1">3</definedName>
    <definedName name="solver_rel19" localSheetId="3" hidden="1">2</definedName>
    <definedName name="solver_rel19" localSheetId="1" hidden="1">4</definedName>
    <definedName name="solver_rel19" localSheetId="5" hidden="1">3</definedName>
    <definedName name="solver_rel2" localSheetId="3" hidden="1">2</definedName>
    <definedName name="solver_rel2" localSheetId="1" hidden="1">2</definedName>
    <definedName name="solver_rel2" localSheetId="5" hidden="1">2</definedName>
    <definedName name="solver_rel20" localSheetId="3" hidden="1">2</definedName>
    <definedName name="solver_rel20" localSheetId="1" hidden="1">4</definedName>
    <definedName name="solver_rel20" localSheetId="5" hidden="1">3</definedName>
    <definedName name="solver_rel21" localSheetId="3" hidden="1">3</definedName>
    <definedName name="solver_rel21" localSheetId="1" hidden="1">4</definedName>
    <definedName name="solver_rel21" localSheetId="5" hidden="1">3</definedName>
    <definedName name="solver_rel22" localSheetId="3" hidden="1">3</definedName>
    <definedName name="solver_rel22" localSheetId="1" hidden="1">4</definedName>
    <definedName name="solver_rel22" localSheetId="5" hidden="1">3</definedName>
    <definedName name="solver_rel23" localSheetId="3" hidden="1">3</definedName>
    <definedName name="solver_rel23" localSheetId="1" hidden="1">4</definedName>
    <definedName name="solver_rel23" localSheetId="5" hidden="1">3</definedName>
    <definedName name="solver_rel24" localSheetId="3" hidden="1">3</definedName>
    <definedName name="solver_rel24" localSheetId="1" hidden="1">3</definedName>
    <definedName name="solver_rel24" localSheetId="5" hidden="1">3</definedName>
    <definedName name="solver_rel25" localSheetId="3" hidden="1">3</definedName>
    <definedName name="solver_rel25" localSheetId="1" hidden="1">3</definedName>
    <definedName name="solver_rel25" localSheetId="5" hidden="1">3</definedName>
    <definedName name="solver_rel26" localSheetId="3" hidden="1">3</definedName>
    <definedName name="solver_rel26" localSheetId="1" hidden="1">2</definedName>
    <definedName name="solver_rel26" localSheetId="5" hidden="1">2</definedName>
    <definedName name="solver_rel27" localSheetId="3" hidden="1">3</definedName>
    <definedName name="solver_rel27" localSheetId="1" hidden="1">3</definedName>
    <definedName name="solver_rel27" localSheetId="5" hidden="1">3</definedName>
    <definedName name="solver_rel28" localSheetId="3" hidden="1">3</definedName>
    <definedName name="solver_rel28" localSheetId="1" hidden="1">3</definedName>
    <definedName name="solver_rel28" localSheetId="5" hidden="1">3</definedName>
    <definedName name="solver_rel29" localSheetId="3" hidden="1">2</definedName>
    <definedName name="solver_rel29" localSheetId="1" hidden="1">3</definedName>
    <definedName name="solver_rel29" localSheetId="5" hidden="1">3</definedName>
    <definedName name="solver_rel3" localSheetId="3" hidden="1">3</definedName>
    <definedName name="solver_rel3" localSheetId="1" hidden="1">2</definedName>
    <definedName name="solver_rel3" localSheetId="5" hidden="1">2</definedName>
    <definedName name="solver_rel30" localSheetId="3" hidden="1">2</definedName>
    <definedName name="solver_rel30" localSheetId="1" hidden="1">3</definedName>
    <definedName name="solver_rel30" localSheetId="5" hidden="1">3</definedName>
    <definedName name="solver_rel31" localSheetId="3" hidden="1">2</definedName>
    <definedName name="solver_rel31" localSheetId="1" hidden="1">3</definedName>
    <definedName name="solver_rel31" localSheetId="5" hidden="1">3</definedName>
    <definedName name="solver_rel32" localSheetId="3" hidden="1">2</definedName>
    <definedName name="solver_rel32" localSheetId="1" hidden="1">3</definedName>
    <definedName name="solver_rel32" localSheetId="5" hidden="1">3</definedName>
    <definedName name="solver_rel33" localSheetId="3" hidden="1">2</definedName>
    <definedName name="solver_rel33" localSheetId="1" hidden="1">3</definedName>
    <definedName name="solver_rel33" localSheetId="5" hidden="1">3</definedName>
    <definedName name="solver_rel34" localSheetId="3" hidden="1">3</definedName>
    <definedName name="solver_rel34" localSheetId="1" hidden="1">3</definedName>
    <definedName name="solver_rel34" localSheetId="5" hidden="1">3</definedName>
    <definedName name="solver_rel35" localSheetId="3" hidden="1">3</definedName>
    <definedName name="solver_rel35" localSheetId="1" hidden="1">3</definedName>
    <definedName name="solver_rel35" localSheetId="5" hidden="1">3</definedName>
    <definedName name="solver_rel36" localSheetId="3" hidden="1">3</definedName>
    <definedName name="solver_rel36" localSheetId="1" hidden="1">3</definedName>
    <definedName name="solver_rel36" localSheetId="5" hidden="1">3</definedName>
    <definedName name="solver_rel37" localSheetId="3" hidden="1">3</definedName>
    <definedName name="solver_rel37" localSheetId="1" hidden="1">3</definedName>
    <definedName name="solver_rel37" localSheetId="5" hidden="1">3</definedName>
    <definedName name="solver_rel38" localSheetId="3" hidden="1">3</definedName>
    <definedName name="solver_rel38" localSheetId="1" hidden="1">3</definedName>
    <definedName name="solver_rel38" localSheetId="5" hidden="1">3</definedName>
    <definedName name="solver_rel39" localSheetId="3" hidden="1">3</definedName>
    <definedName name="solver_rel39" localSheetId="1" hidden="1">3</definedName>
    <definedName name="solver_rel39" localSheetId="5" hidden="1">3</definedName>
    <definedName name="solver_rel4" localSheetId="3" hidden="1">2</definedName>
    <definedName name="solver_rel4" localSheetId="1" hidden="1">3</definedName>
    <definedName name="solver_rel4" localSheetId="5" hidden="1">2</definedName>
    <definedName name="solver_rel40" localSheetId="3" hidden="1">3</definedName>
    <definedName name="solver_rel40" localSheetId="1" hidden="1">3</definedName>
    <definedName name="solver_rel40" localSheetId="5" hidden="1">3</definedName>
    <definedName name="solver_rel41" localSheetId="3" hidden="1">3</definedName>
    <definedName name="solver_rel41" localSheetId="1" hidden="1">3</definedName>
    <definedName name="solver_rel41" localSheetId="5" hidden="1">3</definedName>
    <definedName name="solver_rel42" localSheetId="3" hidden="1">2</definedName>
    <definedName name="solver_rel42" localSheetId="1" hidden="1">3</definedName>
    <definedName name="solver_rel42" localSheetId="5" hidden="1">3</definedName>
    <definedName name="solver_rel43" localSheetId="3" hidden="1">2</definedName>
    <definedName name="solver_rel43" localSheetId="1" hidden="1">3</definedName>
    <definedName name="solver_rel43" localSheetId="5" hidden="1">3</definedName>
    <definedName name="solver_rel44" localSheetId="3" hidden="1">2</definedName>
    <definedName name="solver_rel44" localSheetId="1" hidden="1">3</definedName>
    <definedName name="solver_rel44" localSheetId="5" hidden="1">3</definedName>
    <definedName name="solver_rel45" localSheetId="3" hidden="1">2</definedName>
    <definedName name="solver_rel45" localSheetId="1" hidden="1">3</definedName>
    <definedName name="solver_rel45" localSheetId="5" hidden="1">3</definedName>
    <definedName name="solver_rel46" localSheetId="3" hidden="1">2</definedName>
    <definedName name="solver_rel46" localSheetId="1" hidden="1">3</definedName>
    <definedName name="solver_rel46" localSheetId="5" hidden="1">3</definedName>
    <definedName name="solver_rel47" localSheetId="3" hidden="1">3</definedName>
    <definedName name="solver_rel47" localSheetId="1" hidden="1">3</definedName>
    <definedName name="solver_rel47" localSheetId="5" hidden="1">3</definedName>
    <definedName name="solver_rel48" localSheetId="3" hidden="1">3</definedName>
    <definedName name="solver_rel48" localSheetId="1" hidden="1">3</definedName>
    <definedName name="solver_rel48" localSheetId="5" hidden="1">3</definedName>
    <definedName name="solver_rel49" localSheetId="3" hidden="1">3</definedName>
    <definedName name="solver_rel49" localSheetId="1" hidden="1">3</definedName>
    <definedName name="solver_rel49" localSheetId="5" hidden="1">3</definedName>
    <definedName name="solver_rel5" localSheetId="3" hidden="1">3</definedName>
    <definedName name="solver_rel5" localSheetId="1" hidden="1">3</definedName>
    <definedName name="solver_rel5" localSheetId="5" hidden="1">3</definedName>
    <definedName name="solver_rel50" localSheetId="3" hidden="1">3</definedName>
    <definedName name="solver_rel50" localSheetId="1" hidden="1">3</definedName>
    <definedName name="solver_rel50" localSheetId="5" hidden="1">3</definedName>
    <definedName name="solver_rel51" localSheetId="3" hidden="1">3</definedName>
    <definedName name="solver_rel51" localSheetId="1" hidden="1">3</definedName>
    <definedName name="solver_rel51" localSheetId="5" hidden="1">3</definedName>
    <definedName name="solver_rel52" localSheetId="3" hidden="1">3</definedName>
    <definedName name="solver_rel52" localSheetId="1" hidden="1">3</definedName>
    <definedName name="solver_rel52" localSheetId="5" hidden="1">3</definedName>
    <definedName name="solver_rel53" localSheetId="3" hidden="1">3</definedName>
    <definedName name="solver_rel53" localSheetId="1" hidden="1">3</definedName>
    <definedName name="solver_rel53" localSheetId="5" hidden="1">3</definedName>
    <definedName name="solver_rel54" localSheetId="3" hidden="1">3</definedName>
    <definedName name="solver_rel54" localSheetId="1" hidden="1">3</definedName>
    <definedName name="solver_rel54" localSheetId="5" hidden="1">3</definedName>
    <definedName name="solver_rel55" localSheetId="3" hidden="1">2</definedName>
    <definedName name="solver_rel55" localSheetId="1" hidden="1">3</definedName>
    <definedName name="solver_rel55" localSheetId="5" hidden="1">3</definedName>
    <definedName name="solver_rel56" localSheetId="3" hidden="1">2</definedName>
    <definedName name="solver_rel56" localSheetId="1" hidden="1">3</definedName>
    <definedName name="solver_rel56" localSheetId="5" hidden="1">3</definedName>
    <definedName name="solver_rel57" localSheetId="3" hidden="1">2</definedName>
    <definedName name="solver_rel57" localSheetId="1" hidden="1">3</definedName>
    <definedName name="solver_rel57" localSheetId="5" hidden="1">3</definedName>
    <definedName name="solver_rel58" localSheetId="3" hidden="1">2</definedName>
    <definedName name="solver_rel58" localSheetId="1" hidden="1">3</definedName>
    <definedName name="solver_rel58" localSheetId="5" hidden="1">3</definedName>
    <definedName name="solver_rel59" localSheetId="3" hidden="1">2</definedName>
    <definedName name="solver_rel59" localSheetId="1" hidden="1">3</definedName>
    <definedName name="solver_rel59" localSheetId="5" hidden="1">3</definedName>
    <definedName name="solver_rel6" localSheetId="3" hidden="1">3</definedName>
    <definedName name="solver_rel6" localSheetId="1" hidden="1">3</definedName>
    <definedName name="solver_rel6" localSheetId="5" hidden="1">3</definedName>
    <definedName name="solver_rel60" localSheetId="3" hidden="1">3</definedName>
    <definedName name="solver_rel60" localSheetId="1" hidden="1">3</definedName>
    <definedName name="solver_rel60" localSheetId="5" hidden="1">3</definedName>
    <definedName name="solver_rel61" localSheetId="3" hidden="1">3</definedName>
    <definedName name="solver_rel61" localSheetId="1" hidden="1">3</definedName>
    <definedName name="solver_rel61" localSheetId="5" hidden="1">3</definedName>
    <definedName name="solver_rel62" localSheetId="3" hidden="1">3</definedName>
    <definedName name="solver_rel62" localSheetId="1" hidden="1">3</definedName>
    <definedName name="solver_rel62" localSheetId="5" hidden="1">3</definedName>
    <definedName name="solver_rel63" localSheetId="3" hidden="1">3</definedName>
    <definedName name="solver_rel63" localSheetId="1" hidden="1">3</definedName>
    <definedName name="solver_rel63" localSheetId="5" hidden="1">3</definedName>
    <definedName name="solver_rel64" localSheetId="3" hidden="1">3</definedName>
    <definedName name="solver_rel64" localSheetId="1" hidden="1">3</definedName>
    <definedName name="solver_rel64" localSheetId="5" hidden="1">3</definedName>
    <definedName name="solver_rel65" localSheetId="3" hidden="1">3</definedName>
    <definedName name="solver_rel65" localSheetId="1" hidden="1">3</definedName>
    <definedName name="solver_rel65" localSheetId="5" hidden="1">3</definedName>
    <definedName name="solver_rel66" localSheetId="3" hidden="1">3</definedName>
    <definedName name="solver_rel66" localSheetId="1" hidden="1">3</definedName>
    <definedName name="solver_rel66" localSheetId="5" hidden="1">3</definedName>
    <definedName name="solver_rel67" localSheetId="3" hidden="1">3</definedName>
    <definedName name="solver_rel67" localSheetId="1" hidden="1">3</definedName>
    <definedName name="solver_rel67" localSheetId="5" hidden="1">3</definedName>
    <definedName name="solver_rel68" localSheetId="1" hidden="1">3</definedName>
    <definedName name="solver_rel68" localSheetId="5" hidden="1">3</definedName>
    <definedName name="solver_rel69" localSheetId="1" hidden="1">3</definedName>
    <definedName name="solver_rel69" localSheetId="5" hidden="1">3</definedName>
    <definedName name="solver_rel7" localSheetId="3" hidden="1">3</definedName>
    <definedName name="solver_rel7" localSheetId="1" hidden="1">3</definedName>
    <definedName name="solver_rel7" localSheetId="5" hidden="1">3</definedName>
    <definedName name="solver_rel70" localSheetId="1" hidden="1">3</definedName>
    <definedName name="solver_rel70" localSheetId="5" hidden="1">3</definedName>
    <definedName name="solver_rel71" localSheetId="1" hidden="1">3</definedName>
    <definedName name="solver_rel71" localSheetId="5" hidden="1">3</definedName>
    <definedName name="solver_rel72" localSheetId="1" hidden="1">3</definedName>
    <definedName name="solver_rel72" localSheetId="5" hidden="1">3</definedName>
    <definedName name="solver_rel73" localSheetId="1" hidden="1">3</definedName>
    <definedName name="solver_rel73" localSheetId="5" hidden="1">3</definedName>
    <definedName name="solver_rel74" localSheetId="1" hidden="1">3</definedName>
    <definedName name="solver_rel74" localSheetId="5" hidden="1">3</definedName>
    <definedName name="solver_rel75" localSheetId="1" hidden="1">3</definedName>
    <definedName name="solver_rel75" localSheetId="5" hidden="1">3</definedName>
    <definedName name="solver_rel76" localSheetId="1" hidden="1">3</definedName>
    <definedName name="solver_rel76" localSheetId="5" hidden="1">3</definedName>
    <definedName name="solver_rel77" localSheetId="1" hidden="1">3</definedName>
    <definedName name="solver_rel77" localSheetId="5" hidden="1">3</definedName>
    <definedName name="solver_rel78" localSheetId="1" hidden="1">3</definedName>
    <definedName name="solver_rel78" localSheetId="5" hidden="1">3</definedName>
    <definedName name="solver_rel79" localSheetId="1" hidden="1">3</definedName>
    <definedName name="solver_rel79" localSheetId="5" hidden="1">3</definedName>
    <definedName name="solver_rel8" localSheetId="3" hidden="1">2</definedName>
    <definedName name="solver_rel8" localSheetId="1" hidden="1">3</definedName>
    <definedName name="solver_rel8" localSheetId="5" hidden="1">3</definedName>
    <definedName name="solver_rel80" localSheetId="1" hidden="1">3</definedName>
    <definedName name="solver_rel80" localSheetId="5" hidden="1">3</definedName>
    <definedName name="solver_rel81" localSheetId="1" hidden="1">3</definedName>
    <definedName name="solver_rel81" localSheetId="5" hidden="1">3</definedName>
    <definedName name="solver_rel82" localSheetId="1" hidden="1">3</definedName>
    <definedName name="solver_rel82" localSheetId="5" hidden="1">3</definedName>
    <definedName name="solver_rel83" localSheetId="1" hidden="1">3</definedName>
    <definedName name="solver_rel83" localSheetId="5" hidden="1">3</definedName>
    <definedName name="solver_rel84" localSheetId="1" hidden="1">3</definedName>
    <definedName name="solver_rel84" localSheetId="5" hidden="1">3</definedName>
    <definedName name="solver_rel85" localSheetId="1" hidden="1">3</definedName>
    <definedName name="solver_rel85" localSheetId="5" hidden="1">3</definedName>
    <definedName name="solver_rel86" localSheetId="1" hidden="1">3</definedName>
    <definedName name="solver_rel86" localSheetId="5" hidden="1">3</definedName>
    <definedName name="solver_rel87" localSheetId="1" hidden="1">3</definedName>
    <definedName name="solver_rel87" localSheetId="5" hidden="1">3</definedName>
    <definedName name="solver_rel88" localSheetId="1" hidden="1">3</definedName>
    <definedName name="solver_rel88" localSheetId="5" hidden="1">3</definedName>
    <definedName name="solver_rel89" localSheetId="1" hidden="1">3</definedName>
    <definedName name="solver_rel89" localSheetId="5" hidden="1">3</definedName>
    <definedName name="solver_rel9" localSheetId="3" hidden="1">3</definedName>
    <definedName name="solver_rel9" localSheetId="1" hidden="1">3</definedName>
    <definedName name="solver_rel9" localSheetId="5" hidden="1">3</definedName>
    <definedName name="solver_rel90" localSheetId="1" hidden="1">3</definedName>
    <definedName name="solver_rel90" localSheetId="5" hidden="1">3</definedName>
    <definedName name="solver_rel91" localSheetId="1" hidden="1">3</definedName>
    <definedName name="solver_rel91" localSheetId="5" hidden="1">3</definedName>
    <definedName name="solver_rhs1" localSheetId="3" hidden="1">'Fertilizer Cost LP Model'!$T$130</definedName>
    <definedName name="solver_rhs1" localSheetId="1" hidden="1">'NPK LP Model'!$P$74:$P$77</definedName>
    <definedName name="solver_rhs1" localSheetId="5" hidden="1">NPK_LP_Model_Mass!$N$74</definedName>
    <definedName name="solver_rhs10" localSheetId="3" hidden="1">'Fertilizer Cost LP Model'!$T$121</definedName>
    <definedName name="solver_rhs10" localSheetId="1" hidden="1">'NPK LP Model'!$N$83</definedName>
    <definedName name="solver_rhs10" localSheetId="5" hidden="1">NPK_LP_Model_Mass!$N$83</definedName>
    <definedName name="solver_rhs11" localSheetId="3" hidden="1">'Fertilizer Cost LP Model'!$T$115</definedName>
    <definedName name="solver_rhs11" localSheetId="1" hidden="1">'NPK LP Model'!$N$90</definedName>
    <definedName name="solver_rhs11" localSheetId="5" hidden="1">NPK_LP_Model_Mass!$N$84</definedName>
    <definedName name="solver_rhs12" localSheetId="3" hidden="1">'Fertilizer Cost LP Model'!$T$116</definedName>
    <definedName name="solver_rhs12" localSheetId="1" hidden="1">'NPK LP Model'!$N$81</definedName>
    <definedName name="solver_rhs12" localSheetId="5" hidden="1">NPK_LP_Model_Mass!$N$81</definedName>
    <definedName name="solver_rhs13" localSheetId="3" hidden="1">'Fertilizer Cost LP Model'!$T$141</definedName>
    <definedName name="solver_rhs13" localSheetId="1" hidden="1">'NPK LP Model'!$P$64</definedName>
    <definedName name="solver_rhs13" localSheetId="5" hidden="1">NPK_LP_Model_Mass!$N$81</definedName>
    <definedName name="solver_rhs14" localSheetId="3" hidden="1">'Fertilizer Cost LP Model'!$T$141</definedName>
    <definedName name="solver_rhs14" localSheetId="1" hidden="1">'NPK LP Model'!$P$57:$P$60</definedName>
    <definedName name="solver_rhs14" localSheetId="5" hidden="1">NPK_LP_Model_Mass!$N$82</definedName>
    <definedName name="solver_rhs15" localSheetId="3" hidden="1">'Fertilizer Cost LP Model'!$T$140</definedName>
    <definedName name="solver_rhs15" localSheetId="1" hidden="1">'NPK LP Model'!$P$61:$P$63</definedName>
    <definedName name="solver_rhs15" localSheetId="5" hidden="1">NPK_LP_Model_Mass!$N$83</definedName>
    <definedName name="solver_rhs16" localSheetId="3" hidden="1">'Fertilizer Cost LP Model'!$T$111:$T$114</definedName>
    <definedName name="solver_rhs16" localSheetId="1" hidden="1">'NPK LP Model'!$P$65</definedName>
    <definedName name="solver_rhs16" localSheetId="5" hidden="1">NPK_LP_Model_Mass!$N$84</definedName>
    <definedName name="solver_rhs17" localSheetId="3" hidden="1">'Fertilizer Cost LP Model'!$T$115:$T$121</definedName>
    <definedName name="solver_rhs17" localSheetId="1" hidden="1">'NPK LP Model'!$P$66</definedName>
    <definedName name="solver_rhs17" localSheetId="5" hidden="1">NPK_LP_Model_Mass!$N$61</definedName>
    <definedName name="solver_rhs18" localSheetId="3" hidden="1">'Fertilizer Cost LP Model'!$T$121</definedName>
    <definedName name="solver_rhs18" localSheetId="1" hidden="1">'NPK LP Model'!$P$64</definedName>
    <definedName name="solver_rhs18" localSheetId="5" hidden="1">NPK_LP_Model_Mass!$N$61</definedName>
    <definedName name="solver_rhs19" localSheetId="3" hidden="1">'Fertilizer Cost LP Model'!$T$113</definedName>
    <definedName name="solver_rhs19" localSheetId="1" hidden="1">integer</definedName>
    <definedName name="solver_rhs19" localSheetId="5" hidden="1">NPK_LP_Model_Mass!$N$61</definedName>
    <definedName name="solver_rhs2" localSheetId="3" hidden="1">'Fertilizer Cost LP Model'!$T$131:$T$133</definedName>
    <definedName name="solver_rhs2" localSheetId="1" hidden="1">'NPK LP Model'!$P$82</definedName>
    <definedName name="solver_rhs2" localSheetId="5" hidden="1">NPK_LP_Model_Mass!$N$75</definedName>
    <definedName name="solver_rhs20" localSheetId="3" hidden="1">'Fertilizer Cost LP Model'!$T$114</definedName>
    <definedName name="solver_rhs20" localSheetId="1" hidden="1">integer</definedName>
    <definedName name="solver_rhs20" localSheetId="5" hidden="1">NPK_LP_Model_Mass!$N$61</definedName>
    <definedName name="solver_rhs21" localSheetId="3" hidden="1">'Fertilizer Cost LP Model'!$T$115</definedName>
    <definedName name="solver_rhs21" localSheetId="1" hidden="1">integer</definedName>
    <definedName name="solver_rhs21" localSheetId="5" hidden="1">NPK_LP_Model_Mass!$N$61</definedName>
    <definedName name="solver_rhs22" localSheetId="3" hidden="1">'Fertilizer Cost LP Model'!$T$116</definedName>
    <definedName name="solver_rhs22" localSheetId="1" hidden="1">integer</definedName>
    <definedName name="solver_rhs22" localSheetId="5" hidden="1">NPK_LP_Model_Mass!$N$62</definedName>
    <definedName name="solver_rhs23" localSheetId="3" hidden="1">'Fertilizer Cost LP Model'!$T$117</definedName>
    <definedName name="solver_rhs23" localSheetId="1" hidden="1">integer</definedName>
    <definedName name="solver_rhs23" localSheetId="5" hidden="1">NPK_LP_Model_Mass!$N$61</definedName>
    <definedName name="solver_rhs24" localSheetId="3" hidden="1">'Fertilizer Cost LP Model'!$T$118</definedName>
    <definedName name="solver_rhs24" localSheetId="1" hidden="1">'NPK LP Model'!$P$64</definedName>
    <definedName name="solver_rhs24" localSheetId="5" hidden="1">NPK_LP_Model_Mass!$N$62</definedName>
    <definedName name="solver_rhs25" localSheetId="3" hidden="1">'Fertilizer Cost LP Model'!$T$119</definedName>
    <definedName name="solver_rhs25" localSheetId="1" hidden="1">'NPK LP Model'!$P$62</definedName>
    <definedName name="solver_rhs25" localSheetId="5" hidden="1">NPK_LP_Model_Mass!$N$62</definedName>
    <definedName name="solver_rhs26" localSheetId="3" hidden="1">'Fertilizer Cost LP Model'!$T$120</definedName>
    <definedName name="solver_rhs26" localSheetId="1" hidden="1">'NPK LP Model'!$P$57:$P$60</definedName>
    <definedName name="solver_rhs26" localSheetId="5" hidden="1">NPK_LP_Model_Mass!$N$57:$N$60</definedName>
    <definedName name="solver_rhs27" localSheetId="3" hidden="1">'Fertilizer Cost LP Model'!$T$121</definedName>
    <definedName name="solver_rhs27" localSheetId="1" hidden="1">'NPK LP Model'!$P$62</definedName>
    <definedName name="solver_rhs27" localSheetId="5" hidden="1">NPK_LP_Model_Mass!$N$62</definedName>
    <definedName name="solver_rhs28" localSheetId="3" hidden="1">'Fertilizer Cost LP Model'!$T$121</definedName>
    <definedName name="solver_rhs28" localSheetId="1" hidden="1">'NPK LP Model'!$P$62</definedName>
    <definedName name="solver_rhs28" localSheetId="5" hidden="1">NPK_LP_Model_Mass!$N$62</definedName>
    <definedName name="solver_rhs29" localSheetId="3" hidden="1">'Fertilizer Cost LP Model'!$T$111:$T$114</definedName>
    <definedName name="solver_rhs29" localSheetId="1" hidden="1">'NPK LP Model'!$P$62</definedName>
    <definedName name="solver_rhs29" localSheetId="5" hidden="1">NPK_LP_Model_Mass!$N$62</definedName>
    <definedName name="solver_rhs3" localSheetId="3" hidden="1">'Fertilizer Cost LP Model'!$T$134:$T$140</definedName>
    <definedName name="solver_rhs3" localSheetId="1" hidden="1">'NPK LP Model'!$P$83</definedName>
    <definedName name="solver_rhs3" localSheetId="5" hidden="1">NPK_LP_Model_Mass!$N$76</definedName>
    <definedName name="solver_rhs30" localSheetId="3" hidden="1">'Fertilizer Cost LP Model'!$T$111</definedName>
    <definedName name="solver_rhs30" localSheetId="1" hidden="1">'NPK LP Model'!$P$62</definedName>
    <definedName name="solver_rhs30" localSheetId="5" hidden="1">NPK_LP_Model_Mass!$N$62</definedName>
    <definedName name="solver_rhs31" localSheetId="3" hidden="1">'Fertilizer Cost LP Model'!$T$112</definedName>
    <definedName name="solver_rhs31" localSheetId="1" hidden="1">'NPK LP Model'!$P$61</definedName>
    <definedName name="solver_rhs31" localSheetId="5" hidden="1">NPK_LP_Model_Mass!$N$61</definedName>
    <definedName name="solver_rhs32" localSheetId="3" hidden="1">'Fertilizer Cost LP Model'!$T$113</definedName>
    <definedName name="solver_rhs32" localSheetId="1" hidden="1">'NPK LP Model'!$P$62</definedName>
    <definedName name="solver_rhs32" localSheetId="5" hidden="1">NPK_LP_Model_Mass!$N$62</definedName>
    <definedName name="solver_rhs33" localSheetId="3" hidden="1">'Fertilizer Cost LP Model'!$T$114</definedName>
    <definedName name="solver_rhs33" localSheetId="1" hidden="1">'NPK LP Model'!$P$62</definedName>
    <definedName name="solver_rhs33" localSheetId="5" hidden="1">NPK_LP_Model_Mass!$N$62</definedName>
    <definedName name="solver_rhs34" localSheetId="3" hidden="1">'Fertilizer Cost LP Model'!$T$115</definedName>
    <definedName name="solver_rhs34" localSheetId="1" hidden="1">'NPK LP Model'!$P$62</definedName>
    <definedName name="solver_rhs34" localSheetId="5" hidden="1">NPK_LP_Model_Mass!$N$62</definedName>
    <definedName name="solver_rhs35" localSheetId="3" hidden="1">'Fertilizer Cost LP Model'!$T$116</definedName>
    <definedName name="solver_rhs35" localSheetId="1" hidden="1">'NPK LP Model'!$P$62</definedName>
    <definedName name="solver_rhs35" localSheetId="5" hidden="1">NPK_LP_Model_Mass!$N$62</definedName>
    <definedName name="solver_rhs36" localSheetId="3" hidden="1">'Fertilizer Cost LP Model'!$T$117</definedName>
    <definedName name="solver_rhs36" localSheetId="1" hidden="1">'NPK LP Model'!$P$63</definedName>
    <definedName name="solver_rhs36" localSheetId="5" hidden="1">NPK_LP_Model_Mass!$N$63</definedName>
    <definedName name="solver_rhs37" localSheetId="3" hidden="1">'Fertilizer Cost LP Model'!$T$118</definedName>
    <definedName name="solver_rhs37" localSheetId="1" hidden="1">'NPK LP Model'!$P$62</definedName>
    <definedName name="solver_rhs37" localSheetId="5" hidden="1">NPK_LP_Model_Mass!$N$62</definedName>
    <definedName name="solver_rhs38" localSheetId="3" hidden="1">'Fertilizer Cost LP Model'!$T$119</definedName>
    <definedName name="solver_rhs38" localSheetId="1" hidden="1">'NPK LP Model'!$P$63</definedName>
    <definedName name="solver_rhs38" localSheetId="5" hidden="1">NPK_LP_Model_Mass!$N$63</definedName>
    <definedName name="solver_rhs39" localSheetId="3" hidden="1">'Fertilizer Cost LP Model'!$T$120</definedName>
    <definedName name="solver_rhs39" localSheetId="1" hidden="1">'NPK LP Model'!$P$63</definedName>
    <definedName name="solver_rhs39" localSheetId="5" hidden="1">NPK_LP_Model_Mass!$N$63</definedName>
    <definedName name="solver_rhs4" localSheetId="3" hidden="1">'Fertilizer Cost LP Model'!$T$141</definedName>
    <definedName name="solver_rhs4" localSheetId="1" hidden="1">'NPK LP Model'!$P$78</definedName>
    <definedName name="solver_rhs4" localSheetId="5" hidden="1">NPK_LP_Model_Mass!$N$77</definedName>
    <definedName name="solver_rhs40" localSheetId="3" hidden="1">'Fertilizer Cost LP Model'!$T$121</definedName>
    <definedName name="solver_rhs40" localSheetId="1" hidden="1">'NPK LP Model'!$P$63</definedName>
    <definedName name="solver_rhs40" localSheetId="5" hidden="1">NPK_LP_Model_Mass!$N$63</definedName>
    <definedName name="solver_rhs41" localSheetId="3" hidden="1">'Fertilizer Cost LP Model'!$T$121</definedName>
    <definedName name="solver_rhs41" localSheetId="1" hidden="1">'NPK LP Model'!$P$63</definedName>
    <definedName name="solver_rhs41" localSheetId="5" hidden="1">NPK_LP_Model_Mass!$N$63</definedName>
    <definedName name="solver_rhs42" localSheetId="3" hidden="1">'Fertilizer Cost LP Model'!$T$111:$T$114</definedName>
    <definedName name="solver_rhs42" localSheetId="1" hidden="1">'NPK LP Model'!$P$63</definedName>
    <definedName name="solver_rhs42" localSheetId="5" hidden="1">NPK_LP_Model_Mass!$N$63</definedName>
    <definedName name="solver_rhs43" localSheetId="3" hidden="1">'Fertilizer Cost LP Model'!$T$111</definedName>
    <definedName name="solver_rhs43" localSheetId="1" hidden="1">'NPK LP Model'!$P$62</definedName>
    <definedName name="solver_rhs43" localSheetId="5" hidden="1">NPK_LP_Model_Mass!$N$62</definedName>
    <definedName name="solver_rhs44" localSheetId="3" hidden="1">'Fertilizer Cost LP Model'!$T$112</definedName>
    <definedName name="solver_rhs44" localSheetId="1" hidden="1">'NPK LP Model'!$P$63</definedName>
    <definedName name="solver_rhs44" localSheetId="5" hidden="1">NPK_LP_Model_Mass!$N$63</definedName>
    <definedName name="solver_rhs45" localSheetId="3" hidden="1">'Fertilizer Cost LP Model'!$T$113</definedName>
    <definedName name="solver_rhs45" localSheetId="1" hidden="1">'NPK LP Model'!$P$63</definedName>
    <definedName name="solver_rhs45" localSheetId="5" hidden="1">NPK_LP_Model_Mass!$N$63</definedName>
    <definedName name="solver_rhs46" localSheetId="3" hidden="1">'Fertilizer Cost LP Model'!$T$114</definedName>
    <definedName name="solver_rhs46" localSheetId="1" hidden="1">'NPK LP Model'!$P$63</definedName>
    <definedName name="solver_rhs46" localSheetId="5" hidden="1">NPK_LP_Model_Mass!$N$63</definedName>
    <definedName name="solver_rhs47" localSheetId="3" hidden="1">'Fertilizer Cost LP Model'!$T$115</definedName>
    <definedName name="solver_rhs47" localSheetId="1" hidden="1">'NPK LP Model'!$P$63</definedName>
    <definedName name="solver_rhs47" localSheetId="5" hidden="1">NPK_LP_Model_Mass!$N$63</definedName>
    <definedName name="solver_rhs48" localSheetId="3" hidden="1">'Fertilizer Cost LP Model'!$T$116</definedName>
    <definedName name="solver_rhs48" localSheetId="1" hidden="1">'NPK LP Model'!$P$63</definedName>
    <definedName name="solver_rhs48" localSheetId="5" hidden="1">NPK_LP_Model_Mass!$N$63</definedName>
    <definedName name="solver_rhs49" localSheetId="3" hidden="1">'Fertilizer Cost LP Model'!$T$117</definedName>
    <definedName name="solver_rhs49" localSheetId="1" hidden="1">'NPK LP Model'!$P$63</definedName>
    <definedName name="solver_rhs49" localSheetId="5" hidden="1">NPK_LP_Model_Mass!$N$63</definedName>
    <definedName name="solver_rhs5" localSheetId="3" hidden="1">'Fertilizer Cost LP Model'!$T$141</definedName>
    <definedName name="solver_rhs5" localSheetId="1" hidden="1">'NPK LP Model'!$P$79</definedName>
    <definedName name="solver_rhs5" localSheetId="5" hidden="1">NPK_LP_Model_Mass!$N$78</definedName>
    <definedName name="solver_rhs50" localSheetId="3" hidden="1">'Fertilizer Cost LP Model'!$T$118</definedName>
    <definedName name="solver_rhs50" localSheetId="1" hidden="1">'NPK LP Model'!$P$64</definedName>
    <definedName name="solver_rhs50" localSheetId="5" hidden="1">NPK_LP_Model_Mass!$N$64</definedName>
    <definedName name="solver_rhs51" localSheetId="3" hidden="1">'Fertilizer Cost LP Model'!$T$119</definedName>
    <definedName name="solver_rhs51" localSheetId="1" hidden="1">'NPK LP Model'!$P$64</definedName>
    <definedName name="solver_rhs51" localSheetId="5" hidden="1">NPK_LP_Model_Mass!$N$64</definedName>
    <definedName name="solver_rhs52" localSheetId="3" hidden="1">'Fertilizer Cost LP Model'!$T$120</definedName>
    <definedName name="solver_rhs52" localSheetId="1" hidden="1">'NPK LP Model'!$P$64</definedName>
    <definedName name="solver_rhs52" localSheetId="5" hidden="1">NPK_LP_Model_Mass!$N$64</definedName>
    <definedName name="solver_rhs53" localSheetId="3" hidden="1">'Fertilizer Cost LP Model'!$T$121</definedName>
    <definedName name="solver_rhs53" localSheetId="1" hidden="1">'NPK LP Model'!$P$64</definedName>
    <definedName name="solver_rhs53" localSheetId="5" hidden="1">NPK_LP_Model_Mass!$N$64</definedName>
    <definedName name="solver_rhs54" localSheetId="3" hidden="1">'Fertilizer Cost LP Model'!$T$121</definedName>
    <definedName name="solver_rhs54" localSheetId="1" hidden="1">'NPK LP Model'!$P$63</definedName>
    <definedName name="solver_rhs54" localSheetId="5" hidden="1">NPK_LP_Model_Mass!$N$63</definedName>
    <definedName name="solver_rhs55" localSheetId="3" hidden="1">'Fertilizer Cost LP Model'!$T$111:$T$114</definedName>
    <definedName name="solver_rhs55" localSheetId="1" hidden="1">'NPK LP Model'!$P$64</definedName>
    <definedName name="solver_rhs55" localSheetId="5" hidden="1">NPK_LP_Model_Mass!$N$64</definedName>
    <definedName name="solver_rhs56" localSheetId="3" hidden="1">'Fertilizer Cost LP Model'!$T$111</definedName>
    <definedName name="solver_rhs56" localSheetId="1" hidden="1">'NPK LP Model'!$P$64</definedName>
    <definedName name="solver_rhs56" localSheetId="5" hidden="1">NPK_LP_Model_Mass!$N$64</definedName>
    <definedName name="solver_rhs57" localSheetId="3" hidden="1">'Fertilizer Cost LP Model'!$T$112</definedName>
    <definedName name="solver_rhs57" localSheetId="1" hidden="1">'NPK LP Model'!$P$64</definedName>
    <definedName name="solver_rhs57" localSheetId="5" hidden="1">NPK_LP_Model_Mass!$N$64</definedName>
    <definedName name="solver_rhs58" localSheetId="3" hidden="1">'Fertilizer Cost LP Model'!$T$113</definedName>
    <definedName name="solver_rhs58" localSheetId="1" hidden="1">'NPK LP Model'!$P$64</definedName>
    <definedName name="solver_rhs58" localSheetId="5" hidden="1">NPK_LP_Model_Mass!$N$64</definedName>
    <definedName name="solver_rhs59" localSheetId="3" hidden="1">'Fertilizer Cost LP Model'!$T$114</definedName>
    <definedName name="solver_rhs59" localSheetId="1" hidden="1">'NPK LP Model'!$P$64</definedName>
    <definedName name="solver_rhs59" localSheetId="5" hidden="1">NPK_LP_Model_Mass!$N$64</definedName>
    <definedName name="solver_rhs6" localSheetId="3" hidden="1">'Fertilizer Cost LP Model'!$T$140</definedName>
    <definedName name="solver_rhs6" localSheetId="1" hidden="1">'NPK LP Model'!$P$80</definedName>
    <definedName name="solver_rhs6" localSheetId="5" hidden="1">NPK_LP_Model_Mass!$N$79</definedName>
    <definedName name="solver_rhs60" localSheetId="3" hidden="1">'Fertilizer Cost LP Model'!$T$115</definedName>
    <definedName name="solver_rhs60" localSheetId="1" hidden="1">'NPK LP Model'!$P$64</definedName>
    <definedName name="solver_rhs60" localSheetId="5" hidden="1">NPK_LP_Model_Mass!$N$64</definedName>
    <definedName name="solver_rhs61" localSheetId="3" hidden="1">'Fertilizer Cost LP Model'!$T$116</definedName>
    <definedName name="solver_rhs61" localSheetId="1" hidden="1">'NPK LP Model'!$P$64</definedName>
    <definedName name="solver_rhs61" localSheetId="5" hidden="1">NPK_LP_Model_Mass!$N$64</definedName>
    <definedName name="solver_rhs62" localSheetId="3" hidden="1">'Fertilizer Cost LP Model'!$T$117</definedName>
    <definedName name="solver_rhs62" localSheetId="1" hidden="1">'NPK LP Model'!$P$65</definedName>
    <definedName name="solver_rhs62" localSheetId="5" hidden="1">NPK_LP_Model_Mass!$N$65</definedName>
    <definedName name="solver_rhs63" localSheetId="3" hidden="1">'Fertilizer Cost LP Model'!$T$118</definedName>
    <definedName name="solver_rhs63" localSheetId="1" hidden="1">'NPK LP Model'!$P$64</definedName>
    <definedName name="solver_rhs63" localSheetId="5" hidden="1">NPK_LP_Model_Mass!$N$64</definedName>
    <definedName name="solver_rhs64" localSheetId="3" hidden="1">'Fertilizer Cost LP Model'!$T$119</definedName>
    <definedName name="solver_rhs64" localSheetId="1" hidden="1">'NPK LP Model'!$P$65</definedName>
    <definedName name="solver_rhs64" localSheetId="5" hidden="1">NPK_LP_Model_Mass!$N$65</definedName>
    <definedName name="solver_rhs65" localSheetId="3" hidden="1">'Fertilizer Cost LP Model'!$T$120</definedName>
    <definedName name="solver_rhs65" localSheetId="1" hidden="1">'NPK LP Model'!$P$65</definedName>
    <definedName name="solver_rhs65" localSheetId="5" hidden="1">NPK_LP_Model_Mass!$N$65</definedName>
    <definedName name="solver_rhs66" localSheetId="3" hidden="1">'Fertilizer Cost LP Model'!$T$121</definedName>
    <definedName name="solver_rhs66" localSheetId="1" hidden="1">'NPK LP Model'!$P$64</definedName>
    <definedName name="solver_rhs66" localSheetId="5" hidden="1">NPK_LP_Model_Mass!$N$64</definedName>
    <definedName name="solver_rhs67" localSheetId="3" hidden="1">'Fertilizer Cost LP Model'!$T$121</definedName>
    <definedName name="solver_rhs67" localSheetId="1" hidden="1">'NPK LP Model'!$P$65</definedName>
    <definedName name="solver_rhs67" localSheetId="5" hidden="1">NPK_LP_Model_Mass!$N$65</definedName>
    <definedName name="solver_rhs68" localSheetId="1" hidden="1">'NPK LP Model'!$P$65</definedName>
    <definedName name="solver_rhs68" localSheetId="5" hidden="1">NPK_LP_Model_Mass!$N$65</definedName>
    <definedName name="solver_rhs69" localSheetId="1" hidden="1">'NPK LP Model'!$P$65</definedName>
    <definedName name="solver_rhs69" localSheetId="5" hidden="1">NPK_LP_Model_Mass!$N$65</definedName>
    <definedName name="solver_rhs7" localSheetId="3" hidden="1">'Fertilizer Cost LP Model'!$T$111</definedName>
    <definedName name="solver_rhs7" localSheetId="1" hidden="1">'NPK LP Model'!$P$81</definedName>
    <definedName name="solver_rhs7" localSheetId="5" hidden="1">NPK_LP_Model_Mass!$N$80</definedName>
    <definedName name="solver_rhs70" localSheetId="1" hidden="1">'NPK LP Model'!$P$65</definedName>
    <definedName name="solver_rhs70" localSheetId="5" hidden="1">NPK_LP_Model_Mass!$N$65</definedName>
    <definedName name="solver_rhs71" localSheetId="1" hidden="1">'NPK LP Model'!$P$65</definedName>
    <definedName name="solver_rhs71" localSheetId="5" hidden="1">NPK_LP_Model_Mass!$N$65</definedName>
    <definedName name="solver_rhs72" localSheetId="1" hidden="1">'NPK LP Model'!$P$65</definedName>
    <definedName name="solver_rhs72" localSheetId="5" hidden="1">NPK_LP_Model_Mass!$N$65</definedName>
    <definedName name="solver_rhs73" localSheetId="1" hidden="1">'NPK LP Model'!$P$65</definedName>
    <definedName name="solver_rhs73" localSheetId="5" hidden="1">NPK_LP_Model_Mass!$N$65</definedName>
    <definedName name="solver_rhs74" localSheetId="1" hidden="1">'NPK LP Model'!$P$65</definedName>
    <definedName name="solver_rhs74" localSheetId="5" hidden="1">NPK_LP_Model_Mass!$N$65</definedName>
    <definedName name="solver_rhs75" localSheetId="1" hidden="1">'NPK LP Model'!$P$66</definedName>
    <definedName name="solver_rhs75" localSheetId="5" hidden="1">NPK_LP_Model_Mass!$N$66</definedName>
    <definedName name="solver_rhs76" localSheetId="1" hidden="1">'NPK LP Model'!$P$65</definedName>
    <definedName name="solver_rhs76" localSheetId="5" hidden="1">NPK_LP_Model_Mass!$N$65</definedName>
    <definedName name="solver_rhs77" localSheetId="1" hidden="1">'NPK LP Model'!$P$66</definedName>
    <definedName name="solver_rhs77" localSheetId="5" hidden="1">NPK_LP_Model_Mass!$N$66</definedName>
    <definedName name="solver_rhs78" localSheetId="1" hidden="1">'NPK LP Model'!$P$65</definedName>
    <definedName name="solver_rhs78" localSheetId="5" hidden="1">NPK_LP_Model_Mass!$N$65</definedName>
    <definedName name="solver_rhs79" localSheetId="1" hidden="1">'NPK LP Model'!$P$66</definedName>
    <definedName name="solver_rhs79" localSheetId="5" hidden="1">NPK_LP_Model_Mass!$N$66</definedName>
    <definedName name="solver_rhs8" localSheetId="3" hidden="1">'Fertilizer Cost LP Model'!$T$112:$T$114</definedName>
    <definedName name="solver_rhs8" localSheetId="1" hidden="1">'NPK LP Model'!$N$81</definedName>
    <definedName name="solver_rhs8" localSheetId="5" hidden="1">NPK_LP_Model_Mass!$N$81</definedName>
    <definedName name="solver_rhs80" localSheetId="1" hidden="1">'NPK LP Model'!$P$66</definedName>
    <definedName name="solver_rhs80" localSheetId="5" hidden="1">NPK_LP_Model_Mass!$N$66</definedName>
    <definedName name="solver_rhs81" localSheetId="1" hidden="1">'NPK LP Model'!$P$66</definedName>
    <definedName name="solver_rhs81" localSheetId="5" hidden="1">NPK_LP_Model_Mass!$N$66</definedName>
    <definedName name="solver_rhs82" localSheetId="1" hidden="1">'NPK LP Model'!$P$66</definedName>
    <definedName name="solver_rhs82" localSheetId="5" hidden="1">NPK_LP_Model_Mass!$N$66</definedName>
    <definedName name="solver_rhs83" localSheetId="1" hidden="1">'NPK LP Model'!$P$66</definedName>
    <definedName name="solver_rhs83" localSheetId="5" hidden="1">NPK_LP_Model_Mass!$N$66</definedName>
    <definedName name="solver_rhs84" localSheetId="1" hidden="1">'NPK LP Model'!$P$66</definedName>
    <definedName name="solver_rhs84" localSheetId="5" hidden="1">NPK_LP_Model_Mass!$N$66</definedName>
    <definedName name="solver_rhs85" localSheetId="1" hidden="1">'NPK LP Model'!$P$66</definedName>
    <definedName name="solver_rhs85" localSheetId="5" hidden="1">NPK_LP_Model_Mass!$N$66</definedName>
    <definedName name="solver_rhs86" localSheetId="1" hidden="1">'NPK LP Model'!$P$66</definedName>
    <definedName name="solver_rhs86" localSheetId="5" hidden="1">NPK_LP_Model_Mass!$N$66</definedName>
    <definedName name="solver_rhs87" localSheetId="1" hidden="1">'NPK LP Model'!$P$66</definedName>
    <definedName name="solver_rhs87" localSheetId="5" hidden="1">NPK_LP_Model_Mass!$N$66</definedName>
    <definedName name="solver_rhs88" localSheetId="1" hidden="1">'NPK LP Model'!$P$66</definedName>
    <definedName name="solver_rhs88" localSheetId="5" hidden="1">NPK_LP_Model_Mass!$N$66</definedName>
    <definedName name="solver_rhs89" localSheetId="1" hidden="1">'NPK LP Model'!$P$66</definedName>
    <definedName name="solver_rhs89" localSheetId="5" hidden="1">NPK_LP_Model_Mass!$N$66</definedName>
    <definedName name="solver_rhs9" localSheetId="3" hidden="1">'Fertilizer Cost LP Model'!$T$115:$T$121</definedName>
    <definedName name="solver_rhs9" localSheetId="1" hidden="1">'NPK LP Model'!$N$82</definedName>
    <definedName name="solver_rhs9" localSheetId="5" hidden="1">NPK_LP_Model_Mass!$N$82</definedName>
    <definedName name="solver_rhs90" localSheetId="1" hidden="1">'NPK LP Model'!$P$66</definedName>
    <definedName name="solver_rhs90" localSheetId="5" hidden="1">NPK_LP_Model_Mass!$N$66</definedName>
    <definedName name="solver_rhs91" localSheetId="1" hidden="1">'NPK LP Model'!$P$66</definedName>
    <definedName name="solver_rhs91" localSheetId="5" hidden="1">NPK_LP_Model_Mass!$N$66</definedName>
    <definedName name="solver_rlx" localSheetId="1" hidden="1">2</definedName>
    <definedName name="solver_rlx" localSheetId="5" hidden="1">2</definedName>
    <definedName name="solver_rsd" localSheetId="1" hidden="1">0</definedName>
    <definedName name="solver_rsd" localSheetId="5" hidden="1">0</definedName>
    <definedName name="solver_scl" localSheetId="1" hidden="1">1</definedName>
    <definedName name="solver_scl" localSheetId="5" hidden="1">1</definedName>
    <definedName name="solver_sho" localSheetId="1" hidden="1">2</definedName>
    <definedName name="solver_sho" localSheetId="5" hidden="1">2</definedName>
    <definedName name="solver_ssz" localSheetId="1" hidden="1">100</definedName>
    <definedName name="solver_ssz" localSheetId="5" hidden="1">100</definedName>
    <definedName name="solver_tim" localSheetId="1" hidden="1">2147483647</definedName>
    <definedName name="solver_tim" localSheetId="5" hidden="1">2147483647</definedName>
    <definedName name="solver_tol" localSheetId="1" hidden="1">0.01</definedName>
    <definedName name="solver_tol" localSheetId="5" hidden="1">0.01</definedName>
    <definedName name="solver_typ" localSheetId="3" hidden="1">2</definedName>
    <definedName name="solver_typ" localSheetId="1" hidden="1">2</definedName>
    <definedName name="solver_typ" localSheetId="5" hidden="1">2</definedName>
    <definedName name="solver_val" localSheetId="3" hidden="1">0</definedName>
    <definedName name="solver_val" localSheetId="1" hidden="1">0</definedName>
    <definedName name="solver_val" localSheetId="5" hidden="1">0</definedName>
    <definedName name="solver_ver" localSheetId="3" hidden="1">3</definedName>
    <definedName name="solver_ver" localSheetId="1" hidden="1">3</definedName>
    <definedName name="solver_ver" localSheetId="5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83" i="1" l="1"/>
  <c r="P82" i="1"/>
  <c r="P80" i="1"/>
  <c r="P79" i="1"/>
  <c r="P78" i="1"/>
  <c r="P77" i="1"/>
  <c r="P76" i="1"/>
  <c r="P75" i="1"/>
  <c r="O231" i="6"/>
  <c r="D21" i="1"/>
  <c r="E21" i="1"/>
  <c r="F21" i="1"/>
  <c r="G21" i="1"/>
  <c r="H21" i="1"/>
  <c r="I21" i="1"/>
  <c r="J21" i="1"/>
  <c r="K21" i="1"/>
  <c r="L21" i="1"/>
  <c r="M21" i="1"/>
  <c r="C21" i="1"/>
  <c r="B21" i="1"/>
  <c r="C71" i="1"/>
  <c r="C74" i="1" s="1"/>
  <c r="D71" i="1"/>
  <c r="D74" i="1" s="1"/>
  <c r="E71" i="1"/>
  <c r="E74" i="1" s="1"/>
  <c r="F71" i="1"/>
  <c r="F74" i="1" s="1"/>
  <c r="G71" i="1"/>
  <c r="G74" i="1" s="1"/>
  <c r="H71" i="1"/>
  <c r="H74" i="1" s="1"/>
  <c r="I71" i="1"/>
  <c r="I74" i="1" s="1"/>
  <c r="J71" i="1"/>
  <c r="J74" i="1" s="1"/>
  <c r="K71" i="1"/>
  <c r="K74" i="1" s="1"/>
  <c r="L71" i="1"/>
  <c r="L74" i="1" s="1"/>
  <c r="M71" i="1"/>
  <c r="M74" i="1" s="1"/>
  <c r="C73" i="1"/>
  <c r="D73" i="1"/>
  <c r="E73" i="1"/>
  <c r="F73" i="1"/>
  <c r="G73" i="1"/>
  <c r="H73" i="1"/>
  <c r="I73" i="1"/>
  <c r="J73" i="1"/>
  <c r="K73" i="1"/>
  <c r="L73" i="1"/>
  <c r="M73" i="1"/>
  <c r="B73" i="1"/>
  <c r="B71" i="1"/>
  <c r="B74" i="1" s="1"/>
  <c r="P72" i="1"/>
  <c r="N21" i="1" l="1"/>
  <c r="K54" i="1"/>
  <c r="K83" i="1"/>
  <c r="K82" i="1"/>
  <c r="F83" i="1"/>
  <c r="F80" i="1"/>
  <c r="F79" i="1"/>
  <c r="F54" i="1"/>
  <c r="F82" i="1"/>
  <c r="F78" i="1"/>
  <c r="F81" i="1"/>
  <c r="M81" i="1"/>
  <c r="M79" i="1"/>
  <c r="M77" i="1"/>
  <c r="M82" i="1"/>
  <c r="M76" i="1"/>
  <c r="M83" i="1"/>
  <c r="M80" i="1"/>
  <c r="M75" i="1"/>
  <c r="M78" i="1"/>
  <c r="M54" i="1"/>
  <c r="L54" i="1"/>
  <c r="L79" i="1"/>
  <c r="L76" i="1"/>
  <c r="L80" i="1"/>
  <c r="L83" i="1"/>
  <c r="L82" i="1"/>
  <c r="L81" i="1"/>
  <c r="L77" i="1"/>
  <c r="L75" i="1"/>
  <c r="L78" i="1"/>
  <c r="K81" i="1"/>
  <c r="K80" i="1"/>
  <c r="K79" i="1"/>
  <c r="K78" i="1"/>
  <c r="K77" i="1"/>
  <c r="K75" i="1"/>
  <c r="K76" i="1"/>
  <c r="J83" i="1"/>
  <c r="J79" i="1"/>
  <c r="J82" i="1"/>
  <c r="J78" i="1"/>
  <c r="J81" i="1"/>
  <c r="J77" i="1"/>
  <c r="J76" i="1"/>
  <c r="J75" i="1"/>
  <c r="J54" i="1"/>
  <c r="J80" i="1"/>
  <c r="I83" i="1"/>
  <c r="I81" i="1"/>
  <c r="I79" i="1"/>
  <c r="I77" i="1"/>
  <c r="I76" i="1"/>
  <c r="I54" i="1"/>
  <c r="I82" i="1"/>
  <c r="I80" i="1"/>
  <c r="I78" i="1"/>
  <c r="I75" i="1"/>
  <c r="H83" i="1"/>
  <c r="H79" i="1"/>
  <c r="H76" i="1"/>
  <c r="H54" i="1"/>
  <c r="H80" i="1"/>
  <c r="H81" i="1"/>
  <c r="H77" i="1"/>
  <c r="H75" i="1"/>
  <c r="H82" i="1"/>
  <c r="H78" i="1"/>
  <c r="G54" i="1"/>
  <c r="G83" i="1"/>
  <c r="G80" i="1"/>
  <c r="G79" i="1"/>
  <c r="G78" i="1"/>
  <c r="G77" i="1"/>
  <c r="G82" i="1"/>
  <c r="G75" i="1"/>
  <c r="G81" i="1"/>
  <c r="G76" i="1"/>
  <c r="F77" i="1"/>
  <c r="F76" i="1"/>
  <c r="F75" i="1"/>
  <c r="E81" i="1"/>
  <c r="E77" i="1"/>
  <c r="E54" i="1"/>
  <c r="E80" i="1"/>
  <c r="E76" i="1"/>
  <c r="E83" i="1"/>
  <c r="E79" i="1"/>
  <c r="E75" i="1"/>
  <c r="E82" i="1"/>
  <c r="E78" i="1"/>
  <c r="C83" i="1"/>
  <c r="C79" i="1"/>
  <c r="C77" i="1"/>
  <c r="C54" i="1"/>
  <c r="C82" i="1"/>
  <c r="C76" i="1"/>
  <c r="C81" i="1"/>
  <c r="C75" i="1"/>
  <c r="C80" i="1"/>
  <c r="C78" i="1"/>
  <c r="B75" i="1"/>
  <c r="B79" i="1"/>
  <c r="B83" i="1"/>
  <c r="B54" i="1"/>
  <c r="B76" i="1"/>
  <c r="B77" i="1"/>
  <c r="B81" i="1"/>
  <c r="B80" i="1"/>
  <c r="B78" i="1"/>
  <c r="B82" i="1"/>
  <c r="D81" i="1"/>
  <c r="D82" i="1"/>
  <c r="D78" i="1"/>
  <c r="D54" i="1"/>
  <c r="D83" i="1"/>
  <c r="D79" i="1"/>
  <c r="D75" i="1"/>
  <c r="D77" i="1"/>
  <c r="D80" i="1"/>
  <c r="D76" i="1"/>
  <c r="N74" i="1"/>
  <c r="P73" i="1"/>
  <c r="E24" i="1" s="1"/>
  <c r="N81" i="1" l="1"/>
  <c r="N75" i="1"/>
  <c r="N82" i="1"/>
  <c r="N83" i="1"/>
  <c r="N80" i="1"/>
  <c r="N79" i="1"/>
  <c r="N77" i="1"/>
  <c r="N76" i="1"/>
  <c r="N78" i="1"/>
  <c r="D28" i="1" l="1"/>
  <c r="Q243" i="6" s="1"/>
  <c r="H28" i="1"/>
  <c r="U243" i="6" s="1"/>
  <c r="I28" i="1"/>
  <c r="V243" i="6" s="1"/>
  <c r="F28" i="1"/>
  <c r="S243" i="6" s="1"/>
  <c r="B28" i="1"/>
  <c r="O243" i="6" s="1"/>
  <c r="C28" i="1"/>
  <c r="P243" i="6" s="1"/>
  <c r="E28" i="1"/>
  <c r="R243" i="6" s="1"/>
  <c r="G28" i="1"/>
  <c r="T243" i="6" s="1"/>
  <c r="J28" i="1"/>
  <c r="W243" i="6" s="1"/>
  <c r="X236" i="6"/>
  <c r="Y236" i="6"/>
  <c r="Z236" i="6"/>
  <c r="K20" i="1"/>
  <c r="X235" i="6" s="1"/>
  <c r="L20" i="1"/>
  <c r="Y235" i="6" s="1"/>
  <c r="M20" i="1"/>
  <c r="Z235" i="6" s="1"/>
  <c r="B20" i="1"/>
  <c r="O235" i="6" s="1"/>
  <c r="O178" i="6" l="1"/>
  <c r="P180" i="6"/>
  <c r="P181" i="6" s="1"/>
  <c r="Q180" i="6"/>
  <c r="Q181" i="6" s="1"/>
  <c r="R180" i="6"/>
  <c r="R181" i="6" s="1"/>
  <c r="S180" i="6"/>
  <c r="S181" i="6" s="1"/>
  <c r="T180" i="6"/>
  <c r="T181" i="6" s="1"/>
  <c r="U180" i="6"/>
  <c r="U181" i="6" s="1"/>
  <c r="V180" i="6"/>
  <c r="V181" i="6" s="1"/>
  <c r="W180" i="6"/>
  <c r="W181" i="6" s="1"/>
  <c r="X180" i="6"/>
  <c r="X181" i="6" s="1"/>
  <c r="Y180" i="6"/>
  <c r="Y181" i="6" s="1"/>
  <c r="P182" i="6"/>
  <c r="Q182" i="6"/>
  <c r="R182" i="6"/>
  <c r="S182" i="6"/>
  <c r="T182" i="6"/>
  <c r="U182" i="6"/>
  <c r="V182" i="6"/>
  <c r="W182" i="6"/>
  <c r="X182" i="6"/>
  <c r="Y182" i="6"/>
  <c r="Z184" i="6"/>
  <c r="P185" i="6"/>
  <c r="Q185" i="6"/>
  <c r="R185" i="6"/>
  <c r="S185" i="6"/>
  <c r="T185" i="6"/>
  <c r="U185" i="6"/>
  <c r="V185" i="6"/>
  <c r="W185" i="6"/>
  <c r="X185" i="6"/>
  <c r="Y185" i="6"/>
  <c r="P187" i="6"/>
  <c r="P188" i="6" s="1"/>
  <c r="Q187" i="6"/>
  <c r="Q188" i="6" s="1"/>
  <c r="R187" i="6"/>
  <c r="R188" i="6" s="1"/>
  <c r="S187" i="6"/>
  <c r="S188" i="6" s="1"/>
  <c r="T187" i="6"/>
  <c r="T188" i="6" s="1"/>
  <c r="U187" i="6"/>
  <c r="U188" i="6" s="1"/>
  <c r="V187" i="6"/>
  <c r="V188" i="6" s="1"/>
  <c r="W187" i="6"/>
  <c r="W188" i="6" s="1"/>
  <c r="X187" i="6"/>
  <c r="X188" i="6" s="1"/>
  <c r="Y187" i="6"/>
  <c r="Y188" i="6" s="1"/>
  <c r="P189" i="6"/>
  <c r="Q189" i="6"/>
  <c r="R189" i="6"/>
  <c r="S189" i="6"/>
  <c r="T189" i="6"/>
  <c r="U189" i="6"/>
  <c r="V189" i="6"/>
  <c r="W189" i="6"/>
  <c r="X189" i="6"/>
  <c r="Y189" i="6"/>
  <c r="Z191" i="6"/>
  <c r="P192" i="6"/>
  <c r="Q192" i="6"/>
  <c r="R192" i="6"/>
  <c r="S192" i="6"/>
  <c r="T192" i="6"/>
  <c r="U192" i="6"/>
  <c r="V192" i="6"/>
  <c r="W192" i="6"/>
  <c r="X192" i="6"/>
  <c r="Y192" i="6"/>
  <c r="P194" i="6"/>
  <c r="P195" i="6" s="1"/>
  <c r="Q194" i="6"/>
  <c r="Q195" i="6" s="1"/>
  <c r="R194" i="6"/>
  <c r="R195" i="6" s="1"/>
  <c r="S194" i="6"/>
  <c r="S195" i="6" s="1"/>
  <c r="T194" i="6"/>
  <c r="T195" i="6" s="1"/>
  <c r="U194" i="6"/>
  <c r="U195" i="6" s="1"/>
  <c r="V194" i="6"/>
  <c r="V195" i="6" s="1"/>
  <c r="W194" i="6"/>
  <c r="W195" i="6" s="1"/>
  <c r="X194" i="6"/>
  <c r="X195" i="6" s="1"/>
  <c r="Y194" i="6"/>
  <c r="Y195" i="6" s="1"/>
  <c r="P196" i="6"/>
  <c r="Q196" i="6"/>
  <c r="R196" i="6"/>
  <c r="S196" i="6"/>
  <c r="T196" i="6"/>
  <c r="U196" i="6"/>
  <c r="V196" i="6"/>
  <c r="W196" i="6"/>
  <c r="X196" i="6"/>
  <c r="Y196" i="6"/>
  <c r="Z198" i="6"/>
  <c r="P199" i="6"/>
  <c r="Q199" i="6"/>
  <c r="R199" i="6"/>
  <c r="S199" i="6"/>
  <c r="T199" i="6"/>
  <c r="U199" i="6"/>
  <c r="V199" i="6"/>
  <c r="W199" i="6"/>
  <c r="X199" i="6"/>
  <c r="Y199" i="6"/>
  <c r="P201" i="6"/>
  <c r="P202" i="6" s="1"/>
  <c r="Q201" i="6"/>
  <c r="Q202" i="6" s="1"/>
  <c r="R201" i="6"/>
  <c r="R202" i="6" s="1"/>
  <c r="S201" i="6"/>
  <c r="S202" i="6" s="1"/>
  <c r="T201" i="6"/>
  <c r="T202" i="6" s="1"/>
  <c r="U201" i="6"/>
  <c r="U202" i="6" s="1"/>
  <c r="V201" i="6"/>
  <c r="V202" i="6" s="1"/>
  <c r="W201" i="6"/>
  <c r="W202" i="6" s="1"/>
  <c r="X201" i="6"/>
  <c r="X202" i="6" s="1"/>
  <c r="Y201" i="6"/>
  <c r="Y202" i="6" s="1"/>
  <c r="P203" i="6"/>
  <c r="Q203" i="6"/>
  <c r="R203" i="6"/>
  <c r="S203" i="6"/>
  <c r="T203" i="6"/>
  <c r="U203" i="6"/>
  <c r="V203" i="6"/>
  <c r="W203" i="6"/>
  <c r="X203" i="6"/>
  <c r="Y203" i="6"/>
  <c r="Z205" i="6"/>
  <c r="P206" i="6"/>
  <c r="Q206" i="6"/>
  <c r="R206" i="6"/>
  <c r="S206" i="6"/>
  <c r="T206" i="6"/>
  <c r="U206" i="6"/>
  <c r="V206" i="6"/>
  <c r="W206" i="6"/>
  <c r="X206" i="6"/>
  <c r="Y206" i="6"/>
  <c r="P208" i="6"/>
  <c r="P209" i="6" s="1"/>
  <c r="Q208" i="6"/>
  <c r="Q209" i="6" s="1"/>
  <c r="R208" i="6"/>
  <c r="R209" i="6" s="1"/>
  <c r="S208" i="6"/>
  <c r="S209" i="6" s="1"/>
  <c r="T208" i="6"/>
  <c r="T209" i="6" s="1"/>
  <c r="U208" i="6"/>
  <c r="U209" i="6" s="1"/>
  <c r="V208" i="6"/>
  <c r="V209" i="6" s="1"/>
  <c r="W208" i="6"/>
  <c r="W209" i="6" s="1"/>
  <c r="X208" i="6"/>
  <c r="X209" i="6" s="1"/>
  <c r="Y208" i="6"/>
  <c r="Y209" i="6" s="1"/>
  <c r="P210" i="6"/>
  <c r="Q210" i="6"/>
  <c r="R210" i="6"/>
  <c r="S210" i="6"/>
  <c r="T210" i="6"/>
  <c r="U210" i="6"/>
  <c r="V210" i="6"/>
  <c r="W210" i="6"/>
  <c r="X210" i="6"/>
  <c r="Y210" i="6"/>
  <c r="Z212" i="6"/>
  <c r="AA212" i="6"/>
  <c r="P213" i="6"/>
  <c r="Q213" i="6"/>
  <c r="R213" i="6"/>
  <c r="S213" i="6"/>
  <c r="T213" i="6"/>
  <c r="U213" i="6"/>
  <c r="V213" i="6"/>
  <c r="W213" i="6"/>
  <c r="X213" i="6"/>
  <c r="Y213" i="6"/>
  <c r="P215" i="6"/>
  <c r="P216" i="6" s="1"/>
  <c r="Q215" i="6"/>
  <c r="R215" i="6"/>
  <c r="R216" i="6" s="1"/>
  <c r="S215" i="6"/>
  <c r="S216" i="6" s="1"/>
  <c r="T215" i="6"/>
  <c r="T216" i="6" s="1"/>
  <c r="U215" i="6"/>
  <c r="U216" i="6" s="1"/>
  <c r="V215" i="6"/>
  <c r="V216" i="6" s="1"/>
  <c r="W215" i="6"/>
  <c r="W216" i="6" s="1"/>
  <c r="X215" i="6"/>
  <c r="X216" i="6" s="1"/>
  <c r="Y215" i="6"/>
  <c r="Y216" i="6" s="1"/>
  <c r="P217" i="6"/>
  <c r="Q217" i="6"/>
  <c r="R217" i="6"/>
  <c r="S217" i="6"/>
  <c r="T217" i="6"/>
  <c r="U217" i="6"/>
  <c r="V217" i="6"/>
  <c r="W217" i="6"/>
  <c r="X217" i="6"/>
  <c r="Y217" i="6"/>
  <c r="Z219" i="6"/>
  <c r="P220" i="6"/>
  <c r="Q220" i="6"/>
  <c r="R220" i="6"/>
  <c r="S220" i="6"/>
  <c r="T220" i="6"/>
  <c r="U220" i="6"/>
  <c r="V220" i="6"/>
  <c r="W220" i="6"/>
  <c r="X220" i="6"/>
  <c r="Y220" i="6"/>
  <c r="Z210" i="6" l="1"/>
  <c r="Z196" i="6"/>
  <c r="Z189" i="6"/>
  <c r="AA205" i="6"/>
  <c r="Z217" i="6"/>
  <c r="Z182" i="6"/>
  <c r="AA219" i="6"/>
  <c r="Z203" i="6"/>
  <c r="Q216" i="6"/>
  <c r="AX169" i="9" l="1"/>
  <c r="X22" i="9" l="1"/>
  <c r="D191" i="9"/>
  <c r="E191" i="9"/>
  <c r="F191" i="9"/>
  <c r="G191" i="9"/>
  <c r="H191" i="9"/>
  <c r="I191" i="9"/>
  <c r="J191" i="9"/>
  <c r="K191" i="9"/>
  <c r="L191" i="9"/>
  <c r="D199" i="9"/>
  <c r="E199" i="9"/>
  <c r="F199" i="9"/>
  <c r="G199" i="9"/>
  <c r="H199" i="9"/>
  <c r="I199" i="9"/>
  <c r="J199" i="9"/>
  <c r="K199" i="9"/>
  <c r="L199" i="9"/>
  <c r="D207" i="9"/>
  <c r="E207" i="9"/>
  <c r="F207" i="9"/>
  <c r="G207" i="9"/>
  <c r="H207" i="9"/>
  <c r="I207" i="9"/>
  <c r="J207" i="9"/>
  <c r="K207" i="9"/>
  <c r="L207" i="9"/>
  <c r="C207" i="9"/>
  <c r="C199" i="9"/>
  <c r="C191" i="9"/>
  <c r="Y207" i="9"/>
  <c r="X207" i="9"/>
  <c r="W207" i="9"/>
  <c r="V207" i="9"/>
  <c r="U207" i="9"/>
  <c r="T207" i="9"/>
  <c r="S207" i="9"/>
  <c r="R207" i="9"/>
  <c r="Q207" i="9"/>
  <c r="P207" i="9"/>
  <c r="Y199" i="9"/>
  <c r="X199" i="9"/>
  <c r="W199" i="9"/>
  <c r="V199" i="9"/>
  <c r="U199" i="9"/>
  <c r="T199" i="9"/>
  <c r="S199" i="9"/>
  <c r="R199" i="9"/>
  <c r="Q199" i="9"/>
  <c r="P199" i="9"/>
  <c r="Q191" i="9"/>
  <c r="R191" i="9"/>
  <c r="S191" i="9"/>
  <c r="T191" i="9"/>
  <c r="U191" i="9"/>
  <c r="V191" i="9"/>
  <c r="W191" i="9"/>
  <c r="X191" i="9"/>
  <c r="Y191" i="9"/>
  <c r="P191" i="9"/>
  <c r="M210" i="9" l="1"/>
  <c r="M202" i="9"/>
  <c r="M194" i="9"/>
  <c r="Q28" i="9" l="1"/>
  <c r="R28" i="9"/>
  <c r="S28" i="9"/>
  <c r="T28" i="9"/>
  <c r="U28" i="9"/>
  <c r="V28" i="9"/>
  <c r="W28" i="9"/>
  <c r="X28" i="9"/>
  <c r="Y28" i="9"/>
  <c r="Q36" i="9"/>
  <c r="R36" i="9"/>
  <c r="S36" i="9"/>
  <c r="T36" i="9"/>
  <c r="U36" i="9"/>
  <c r="V36" i="9"/>
  <c r="W36" i="9"/>
  <c r="X36" i="9"/>
  <c r="Y36" i="9"/>
  <c r="Q44" i="9"/>
  <c r="R44" i="9"/>
  <c r="S44" i="9"/>
  <c r="T44" i="9"/>
  <c r="U44" i="9"/>
  <c r="V44" i="9"/>
  <c r="W44" i="9"/>
  <c r="X44" i="9"/>
  <c r="Y44" i="9"/>
  <c r="P44" i="9"/>
  <c r="P36" i="9"/>
  <c r="P28" i="9"/>
  <c r="D44" i="9"/>
  <c r="E44" i="9"/>
  <c r="F44" i="9"/>
  <c r="G44" i="9"/>
  <c r="H44" i="9"/>
  <c r="I44" i="9"/>
  <c r="J44" i="9"/>
  <c r="K44" i="9"/>
  <c r="L44" i="9"/>
  <c r="D36" i="9"/>
  <c r="E36" i="9"/>
  <c r="F36" i="9"/>
  <c r="G36" i="9"/>
  <c r="H36" i="9"/>
  <c r="I36" i="9"/>
  <c r="J36" i="9"/>
  <c r="K36" i="9"/>
  <c r="L36" i="9"/>
  <c r="D28" i="9"/>
  <c r="E28" i="9"/>
  <c r="F28" i="9"/>
  <c r="G28" i="9"/>
  <c r="H28" i="9"/>
  <c r="I28" i="9"/>
  <c r="J28" i="9"/>
  <c r="K28" i="9"/>
  <c r="L28" i="9"/>
  <c r="C44" i="9"/>
  <c r="C36" i="9"/>
  <c r="C28" i="9"/>
  <c r="D150" i="9"/>
  <c r="E150" i="9"/>
  <c r="F150" i="9"/>
  <c r="G150" i="9"/>
  <c r="H150" i="9"/>
  <c r="I150" i="9"/>
  <c r="J150" i="9"/>
  <c r="K150" i="9"/>
  <c r="L150" i="9"/>
  <c r="M150" i="9"/>
  <c r="N150" i="9"/>
  <c r="O150" i="9"/>
  <c r="P150" i="9"/>
  <c r="Q150" i="9"/>
  <c r="R150" i="9"/>
  <c r="S150" i="9"/>
  <c r="T150" i="9"/>
  <c r="U150" i="9"/>
  <c r="V150" i="9"/>
  <c r="W150" i="9"/>
  <c r="X150" i="9"/>
  <c r="Y150" i="9"/>
  <c r="Z150" i="9"/>
  <c r="AA150" i="9"/>
  <c r="AB150" i="9"/>
  <c r="AC150" i="9"/>
  <c r="AD150" i="9"/>
  <c r="AE150" i="9"/>
  <c r="C150" i="9"/>
  <c r="C162" i="9"/>
  <c r="D165" i="9"/>
  <c r="E165" i="9"/>
  <c r="F165" i="9"/>
  <c r="G165" i="9"/>
  <c r="H165" i="9"/>
  <c r="I165" i="9"/>
  <c r="J165" i="9"/>
  <c r="K165" i="9"/>
  <c r="L165" i="9"/>
  <c r="M165" i="9"/>
  <c r="N165" i="9"/>
  <c r="O165" i="9"/>
  <c r="P165" i="9"/>
  <c r="Q165" i="9"/>
  <c r="R165" i="9"/>
  <c r="S165" i="9"/>
  <c r="T165" i="9"/>
  <c r="U165" i="9"/>
  <c r="V165" i="9"/>
  <c r="W165" i="9"/>
  <c r="X165" i="9"/>
  <c r="Y165" i="9"/>
  <c r="Z165" i="9"/>
  <c r="AA165" i="9"/>
  <c r="AB165" i="9"/>
  <c r="AC165" i="9"/>
  <c r="AD165" i="9"/>
  <c r="AE165" i="9"/>
  <c r="C165" i="9"/>
  <c r="D151" i="9"/>
  <c r="E151" i="9"/>
  <c r="F151" i="9"/>
  <c r="G151" i="9"/>
  <c r="H151" i="9"/>
  <c r="I151" i="9"/>
  <c r="J151" i="9"/>
  <c r="K151" i="9"/>
  <c r="L151" i="9"/>
  <c r="M151" i="9"/>
  <c r="N151" i="9"/>
  <c r="O151" i="9"/>
  <c r="P151" i="9"/>
  <c r="Q151" i="9"/>
  <c r="R151" i="9"/>
  <c r="S151" i="9"/>
  <c r="T151" i="9"/>
  <c r="U151" i="9"/>
  <c r="V151" i="9"/>
  <c r="W151" i="9"/>
  <c r="X151" i="9"/>
  <c r="Y151" i="9"/>
  <c r="Z151" i="9"/>
  <c r="AA151" i="9"/>
  <c r="AB151" i="9"/>
  <c r="AC151" i="9"/>
  <c r="AD151" i="9"/>
  <c r="AE151" i="9"/>
  <c r="D152" i="9"/>
  <c r="E152" i="9"/>
  <c r="F152" i="9"/>
  <c r="G152" i="9"/>
  <c r="H152" i="9"/>
  <c r="I152" i="9"/>
  <c r="J152" i="9"/>
  <c r="K152" i="9"/>
  <c r="L152" i="9"/>
  <c r="M152" i="9"/>
  <c r="N152" i="9"/>
  <c r="O152" i="9"/>
  <c r="P152" i="9"/>
  <c r="Q152" i="9"/>
  <c r="R152" i="9"/>
  <c r="S152" i="9"/>
  <c r="T152" i="9"/>
  <c r="U152" i="9"/>
  <c r="V152" i="9"/>
  <c r="W152" i="9"/>
  <c r="X152" i="9"/>
  <c r="Y152" i="9"/>
  <c r="Z152" i="9"/>
  <c r="AA152" i="9"/>
  <c r="AB152" i="9"/>
  <c r="AC152" i="9"/>
  <c r="AD152" i="9"/>
  <c r="AE152" i="9"/>
  <c r="D153" i="9"/>
  <c r="E153" i="9"/>
  <c r="F153" i="9"/>
  <c r="G153" i="9"/>
  <c r="H153" i="9"/>
  <c r="I153" i="9"/>
  <c r="J153" i="9"/>
  <c r="K153" i="9"/>
  <c r="L153" i="9"/>
  <c r="M153" i="9"/>
  <c r="N153" i="9"/>
  <c r="O153" i="9"/>
  <c r="P153" i="9"/>
  <c r="Q153" i="9"/>
  <c r="R153" i="9"/>
  <c r="S153" i="9"/>
  <c r="T153" i="9"/>
  <c r="U153" i="9"/>
  <c r="V153" i="9"/>
  <c r="W153" i="9"/>
  <c r="X153" i="9"/>
  <c r="Y153" i="9"/>
  <c r="Z153" i="9"/>
  <c r="AA153" i="9"/>
  <c r="AB153" i="9"/>
  <c r="AC153" i="9"/>
  <c r="AD153" i="9"/>
  <c r="AE153" i="9"/>
  <c r="D154" i="9"/>
  <c r="E154" i="9"/>
  <c r="F154" i="9"/>
  <c r="G154" i="9"/>
  <c r="H154" i="9"/>
  <c r="I154" i="9"/>
  <c r="J154" i="9"/>
  <c r="K154" i="9"/>
  <c r="L154" i="9"/>
  <c r="M154" i="9"/>
  <c r="N154" i="9"/>
  <c r="O154" i="9"/>
  <c r="P154" i="9"/>
  <c r="Q154" i="9"/>
  <c r="R154" i="9"/>
  <c r="S154" i="9"/>
  <c r="T154" i="9"/>
  <c r="U154" i="9"/>
  <c r="V154" i="9"/>
  <c r="W154" i="9"/>
  <c r="X154" i="9"/>
  <c r="Y154" i="9"/>
  <c r="Z154" i="9"/>
  <c r="AA154" i="9"/>
  <c r="AB154" i="9"/>
  <c r="AC154" i="9"/>
  <c r="AD154" i="9"/>
  <c r="AE154" i="9"/>
  <c r="D155" i="9"/>
  <c r="E155" i="9"/>
  <c r="F155" i="9"/>
  <c r="G155" i="9"/>
  <c r="H155" i="9"/>
  <c r="I155" i="9"/>
  <c r="J155" i="9"/>
  <c r="K155" i="9"/>
  <c r="L155" i="9"/>
  <c r="M155" i="9"/>
  <c r="N155" i="9"/>
  <c r="O155" i="9"/>
  <c r="P155" i="9"/>
  <c r="Q155" i="9"/>
  <c r="R155" i="9"/>
  <c r="S155" i="9"/>
  <c r="T155" i="9"/>
  <c r="U155" i="9"/>
  <c r="V155" i="9"/>
  <c r="W155" i="9"/>
  <c r="X155" i="9"/>
  <c r="Y155" i="9"/>
  <c r="Z155" i="9"/>
  <c r="AA155" i="9"/>
  <c r="AB155" i="9"/>
  <c r="AC155" i="9"/>
  <c r="AD155" i="9"/>
  <c r="AE155" i="9"/>
  <c r="D156" i="9"/>
  <c r="E156" i="9"/>
  <c r="F156" i="9"/>
  <c r="G156" i="9"/>
  <c r="H156" i="9"/>
  <c r="I156" i="9"/>
  <c r="J156" i="9"/>
  <c r="K156" i="9"/>
  <c r="L156" i="9"/>
  <c r="M156" i="9"/>
  <c r="N156" i="9"/>
  <c r="O156" i="9"/>
  <c r="P156" i="9"/>
  <c r="Q156" i="9"/>
  <c r="R156" i="9"/>
  <c r="S156" i="9"/>
  <c r="T156" i="9"/>
  <c r="U156" i="9"/>
  <c r="V156" i="9"/>
  <c r="W156" i="9"/>
  <c r="X156" i="9"/>
  <c r="Y156" i="9"/>
  <c r="Z156" i="9"/>
  <c r="AA156" i="9"/>
  <c r="AB156" i="9"/>
  <c r="AC156" i="9"/>
  <c r="AD156" i="9"/>
  <c r="AE156" i="9"/>
  <c r="D157" i="9"/>
  <c r="E157" i="9"/>
  <c r="F157" i="9"/>
  <c r="G157" i="9"/>
  <c r="H157" i="9"/>
  <c r="I157" i="9"/>
  <c r="C140" i="9" s="1"/>
  <c r="J157" i="9"/>
  <c r="K157" i="9"/>
  <c r="L157" i="9"/>
  <c r="M157" i="9"/>
  <c r="N157" i="9"/>
  <c r="O157" i="9"/>
  <c r="P157" i="9"/>
  <c r="Q157" i="9"/>
  <c r="R157" i="9"/>
  <c r="S157" i="9"/>
  <c r="T157" i="9"/>
  <c r="U157" i="9"/>
  <c r="V157" i="9"/>
  <c r="W157" i="9"/>
  <c r="X157" i="9"/>
  <c r="Y157" i="9"/>
  <c r="Z157" i="9"/>
  <c r="AA157" i="9"/>
  <c r="AB157" i="9"/>
  <c r="AC157" i="9"/>
  <c r="AD157" i="9"/>
  <c r="AE157" i="9"/>
  <c r="D158" i="9"/>
  <c r="E158" i="9"/>
  <c r="F158" i="9"/>
  <c r="G158" i="9"/>
  <c r="H158" i="9"/>
  <c r="I158" i="9"/>
  <c r="J158" i="9"/>
  <c r="K158" i="9"/>
  <c r="L158" i="9"/>
  <c r="M158" i="9"/>
  <c r="N158" i="9"/>
  <c r="O158" i="9"/>
  <c r="P158" i="9"/>
  <c r="Q158" i="9"/>
  <c r="R158" i="9"/>
  <c r="S158" i="9"/>
  <c r="T158" i="9"/>
  <c r="U158" i="9"/>
  <c r="V158" i="9"/>
  <c r="W158" i="9"/>
  <c r="X158" i="9"/>
  <c r="Y158" i="9"/>
  <c r="Z158" i="9"/>
  <c r="AA158" i="9"/>
  <c r="AB158" i="9"/>
  <c r="AC158" i="9"/>
  <c r="AD158" i="9"/>
  <c r="AE158" i="9"/>
  <c r="D159" i="9"/>
  <c r="E159" i="9"/>
  <c r="F159" i="9"/>
  <c r="G159" i="9"/>
  <c r="H159" i="9"/>
  <c r="I159" i="9"/>
  <c r="J159" i="9"/>
  <c r="K159" i="9"/>
  <c r="L159" i="9"/>
  <c r="M159" i="9"/>
  <c r="N159" i="9"/>
  <c r="O159" i="9"/>
  <c r="P159" i="9"/>
  <c r="Q159" i="9"/>
  <c r="R159" i="9"/>
  <c r="S159" i="9"/>
  <c r="T159" i="9"/>
  <c r="U159" i="9"/>
  <c r="V159" i="9"/>
  <c r="W159" i="9"/>
  <c r="X159" i="9"/>
  <c r="Y159" i="9"/>
  <c r="Z159" i="9"/>
  <c r="AA159" i="9"/>
  <c r="AB159" i="9"/>
  <c r="AC159" i="9"/>
  <c r="AD159" i="9"/>
  <c r="AE159" i="9"/>
  <c r="D160" i="9"/>
  <c r="E160" i="9"/>
  <c r="F160" i="9"/>
  <c r="G160" i="9"/>
  <c r="H160" i="9"/>
  <c r="I160" i="9"/>
  <c r="J160" i="9"/>
  <c r="K160" i="9"/>
  <c r="L160" i="9"/>
  <c r="M160" i="9"/>
  <c r="N160" i="9"/>
  <c r="O160" i="9"/>
  <c r="P160" i="9"/>
  <c r="Q160" i="9"/>
  <c r="R160" i="9"/>
  <c r="S160" i="9"/>
  <c r="T160" i="9"/>
  <c r="U160" i="9"/>
  <c r="V160" i="9"/>
  <c r="W160" i="9"/>
  <c r="X160" i="9"/>
  <c r="Y160" i="9"/>
  <c r="Z160" i="9"/>
  <c r="AA160" i="9"/>
  <c r="AB160" i="9"/>
  <c r="AC160" i="9"/>
  <c r="AD160" i="9"/>
  <c r="AE160" i="9"/>
  <c r="D161" i="9"/>
  <c r="E161" i="9"/>
  <c r="F161" i="9"/>
  <c r="G161" i="9"/>
  <c r="H161" i="9"/>
  <c r="I161" i="9"/>
  <c r="J161" i="9"/>
  <c r="K161" i="9"/>
  <c r="L161" i="9"/>
  <c r="M161" i="9"/>
  <c r="N161" i="9"/>
  <c r="O161" i="9"/>
  <c r="P161" i="9"/>
  <c r="Q161" i="9"/>
  <c r="R161" i="9"/>
  <c r="S161" i="9"/>
  <c r="T161" i="9"/>
  <c r="U161" i="9"/>
  <c r="V161" i="9"/>
  <c r="W161" i="9"/>
  <c r="X161" i="9"/>
  <c r="Y161" i="9"/>
  <c r="Z161" i="9"/>
  <c r="AA161" i="9"/>
  <c r="AB161" i="9"/>
  <c r="AC161" i="9"/>
  <c r="AD161" i="9"/>
  <c r="AE161" i="9"/>
  <c r="C152" i="9"/>
  <c r="C153" i="9"/>
  <c r="C154" i="9"/>
  <c r="C155" i="9"/>
  <c r="C156" i="9"/>
  <c r="C157" i="9"/>
  <c r="C158" i="9"/>
  <c r="C159" i="9"/>
  <c r="C160" i="9"/>
  <c r="C161" i="9"/>
  <c r="C151" i="9"/>
  <c r="T129" i="9"/>
  <c r="Z46" i="9" l="1"/>
  <c r="Z38" i="9"/>
  <c r="Z30" i="9"/>
  <c r="F131" i="9" l="1"/>
  <c r="E131" i="9"/>
  <c r="C131" i="9"/>
  <c r="N112" i="9"/>
  <c r="O112" i="9"/>
  <c r="AF151" i="9"/>
  <c r="AG151" i="9"/>
  <c r="AH151" i="9"/>
  <c r="AI151" i="9"/>
  <c r="AJ151" i="9"/>
  <c r="AK151" i="9"/>
  <c r="AL151" i="9"/>
  <c r="AM151" i="9"/>
  <c r="AN151" i="9"/>
  <c r="G113" i="9"/>
  <c r="C113" i="9"/>
  <c r="N113" i="9"/>
  <c r="AF152" i="9"/>
  <c r="AG152" i="9"/>
  <c r="AH152" i="9"/>
  <c r="AI152" i="9"/>
  <c r="AJ152" i="9"/>
  <c r="AK152" i="9"/>
  <c r="AL152" i="9"/>
  <c r="AM152" i="9"/>
  <c r="AN152" i="9"/>
  <c r="F114" i="9"/>
  <c r="D114" i="9"/>
  <c r="C114" i="9"/>
  <c r="I133" i="9"/>
  <c r="AF153" i="9"/>
  <c r="AG153" i="9"/>
  <c r="AH153" i="9"/>
  <c r="AI153" i="9"/>
  <c r="AJ153" i="9"/>
  <c r="AK153" i="9"/>
  <c r="AL153" i="9"/>
  <c r="AM153" i="9"/>
  <c r="AN153" i="9"/>
  <c r="F115" i="9"/>
  <c r="D134" i="9"/>
  <c r="D115" i="9"/>
  <c r="I134" i="9"/>
  <c r="P134" i="9"/>
  <c r="AF154" i="9"/>
  <c r="AG154" i="9"/>
  <c r="AH154" i="9"/>
  <c r="AI154" i="9"/>
  <c r="AJ154" i="9"/>
  <c r="AK154" i="9"/>
  <c r="AL154" i="9"/>
  <c r="AM154" i="9"/>
  <c r="AN154" i="9"/>
  <c r="F135" i="9"/>
  <c r="E135" i="9"/>
  <c r="I135" i="9"/>
  <c r="M116" i="9"/>
  <c r="O116" i="9"/>
  <c r="AF155" i="9"/>
  <c r="AG155" i="9"/>
  <c r="AH155" i="9"/>
  <c r="AI155" i="9"/>
  <c r="AJ155" i="9"/>
  <c r="AK155" i="9"/>
  <c r="AL155" i="9"/>
  <c r="AM155" i="9"/>
  <c r="AN155" i="9"/>
  <c r="F136" i="9"/>
  <c r="D136" i="9"/>
  <c r="C117" i="9"/>
  <c r="I136" i="9"/>
  <c r="N117" i="9"/>
  <c r="AF156" i="9"/>
  <c r="AG156" i="9"/>
  <c r="AH156" i="9"/>
  <c r="AI156" i="9"/>
  <c r="AJ156" i="9"/>
  <c r="AK156" i="9"/>
  <c r="AL156" i="9"/>
  <c r="AM156" i="9"/>
  <c r="AN156" i="9"/>
  <c r="D121" i="9"/>
  <c r="C121" i="9"/>
  <c r="I140" i="9"/>
  <c r="AF157" i="9"/>
  <c r="AG157" i="9"/>
  <c r="AH157" i="9"/>
  <c r="AI157" i="9"/>
  <c r="AJ157" i="9"/>
  <c r="AK157" i="9"/>
  <c r="AL157" i="9"/>
  <c r="AM157" i="9"/>
  <c r="AN157" i="9"/>
  <c r="F137" i="9"/>
  <c r="E137" i="9"/>
  <c r="D118" i="9"/>
  <c r="I137" i="9"/>
  <c r="Q137" i="9"/>
  <c r="AF158" i="9"/>
  <c r="AG158" i="9"/>
  <c r="AH158" i="9"/>
  <c r="AI158" i="9"/>
  <c r="AJ158" i="9"/>
  <c r="AK158" i="9"/>
  <c r="AL158" i="9"/>
  <c r="AM158" i="9"/>
  <c r="AN158" i="9"/>
  <c r="H138" i="9"/>
  <c r="F138" i="9"/>
  <c r="E138" i="9"/>
  <c r="C119" i="9"/>
  <c r="I138" i="9"/>
  <c r="N119" i="9"/>
  <c r="O138" i="9"/>
  <c r="AF159" i="9"/>
  <c r="AG159" i="9"/>
  <c r="AH159" i="9"/>
  <c r="AI159" i="9"/>
  <c r="AJ159" i="9"/>
  <c r="AK159" i="9"/>
  <c r="AL159" i="9"/>
  <c r="AM159" i="9"/>
  <c r="AN159" i="9"/>
  <c r="F139" i="9"/>
  <c r="C120" i="9"/>
  <c r="N120" i="9"/>
  <c r="AF160" i="9"/>
  <c r="AG160" i="9"/>
  <c r="AH160" i="9"/>
  <c r="AI160" i="9"/>
  <c r="AJ160" i="9"/>
  <c r="AK160" i="9"/>
  <c r="AL160" i="9"/>
  <c r="AM160" i="9"/>
  <c r="AN160" i="9"/>
  <c r="AF161" i="9"/>
  <c r="AG161" i="9"/>
  <c r="AH161" i="9"/>
  <c r="AI161" i="9"/>
  <c r="AJ161" i="9"/>
  <c r="AK161" i="9"/>
  <c r="AL161" i="9"/>
  <c r="AM161" i="9"/>
  <c r="AN161" i="9"/>
  <c r="AF165" i="9"/>
  <c r="AG165" i="9"/>
  <c r="AH165" i="9"/>
  <c r="AI165" i="9"/>
  <c r="AJ165" i="9"/>
  <c r="AK165" i="9"/>
  <c r="AL165" i="9"/>
  <c r="AM165" i="9"/>
  <c r="AN165" i="9"/>
  <c r="J133" i="9"/>
  <c r="J134" i="9"/>
  <c r="J140" i="9"/>
  <c r="J137" i="9"/>
  <c r="J138" i="9"/>
  <c r="J131" i="9"/>
  <c r="J135" i="9"/>
  <c r="BH211" i="9"/>
  <c r="BG211" i="9"/>
  <c r="BF211" i="9"/>
  <c r="BE211" i="9"/>
  <c r="BD211" i="9"/>
  <c r="BC211" i="9"/>
  <c r="BB211" i="9"/>
  <c r="BA211" i="9"/>
  <c r="AZ211" i="9"/>
  <c r="AY211" i="9"/>
  <c r="BI210" i="9"/>
  <c r="BH208" i="9"/>
  <c r="BG208" i="9"/>
  <c r="BF208" i="9"/>
  <c r="BE208" i="9"/>
  <c r="BD208" i="9"/>
  <c r="BC208" i="9"/>
  <c r="BB208" i="9"/>
  <c r="BA208" i="9"/>
  <c r="AZ208" i="9"/>
  <c r="AY208" i="9"/>
  <c r="BH206" i="9"/>
  <c r="BH207" i="9" s="1"/>
  <c r="BG206" i="9"/>
  <c r="BG207" i="9" s="1"/>
  <c r="BF206" i="9"/>
  <c r="BF207" i="9" s="1"/>
  <c r="BE206" i="9"/>
  <c r="BE207" i="9" s="1"/>
  <c r="BD206" i="9"/>
  <c r="BD207" i="9" s="1"/>
  <c r="BC206" i="9"/>
  <c r="BC207" i="9" s="1"/>
  <c r="BB206" i="9"/>
  <c r="BB207" i="9" s="1"/>
  <c r="BA206" i="9"/>
  <c r="BA207" i="9" s="1"/>
  <c r="AZ206" i="9"/>
  <c r="AZ207" i="9" s="1"/>
  <c r="AY206" i="9"/>
  <c r="AY207" i="9" s="1"/>
  <c r="BH204" i="9"/>
  <c r="BG204" i="9"/>
  <c r="BF204" i="9"/>
  <c r="BE204" i="9"/>
  <c r="BD204" i="9"/>
  <c r="BC204" i="9"/>
  <c r="BB204" i="9"/>
  <c r="BA204" i="9"/>
  <c r="AZ204" i="9"/>
  <c r="AY204" i="9"/>
  <c r="BJ203" i="9"/>
  <c r="BI203" i="9"/>
  <c r="BH201" i="9"/>
  <c r="BG201" i="9"/>
  <c r="BF201" i="9"/>
  <c r="BE201" i="9"/>
  <c r="BD201" i="9"/>
  <c r="BC201" i="9"/>
  <c r="BB201" i="9"/>
  <c r="BA201" i="9"/>
  <c r="AZ201" i="9"/>
  <c r="AY201" i="9"/>
  <c r="BH199" i="9"/>
  <c r="BH200" i="9" s="1"/>
  <c r="BG199" i="9"/>
  <c r="BG200" i="9" s="1"/>
  <c r="BF199" i="9"/>
  <c r="BF200" i="9" s="1"/>
  <c r="BE199" i="9"/>
  <c r="BE200" i="9" s="1"/>
  <c r="BD199" i="9"/>
  <c r="BD200" i="9" s="1"/>
  <c r="BC199" i="9"/>
  <c r="BC200" i="9" s="1"/>
  <c r="BB199" i="9"/>
  <c r="BB200" i="9" s="1"/>
  <c r="BA199" i="9"/>
  <c r="BA200" i="9" s="1"/>
  <c r="AZ199" i="9"/>
  <c r="AZ200" i="9" s="1"/>
  <c r="AY199" i="9"/>
  <c r="AY200" i="9" s="1"/>
  <c r="BH197" i="9"/>
  <c r="BG197" i="9"/>
  <c r="BF197" i="9"/>
  <c r="BE197" i="9"/>
  <c r="BD197" i="9"/>
  <c r="BC197" i="9"/>
  <c r="BB197" i="9"/>
  <c r="BA197" i="9"/>
  <c r="AZ197" i="9"/>
  <c r="AY197" i="9"/>
  <c r="BI196" i="9"/>
  <c r="BH194" i="9"/>
  <c r="BG194" i="9"/>
  <c r="BF194" i="9"/>
  <c r="BE194" i="9"/>
  <c r="BD194" i="9"/>
  <c r="BC194" i="9"/>
  <c r="BB194" i="9"/>
  <c r="BA194" i="9"/>
  <c r="AZ194" i="9"/>
  <c r="AY194" i="9"/>
  <c r="BH192" i="9"/>
  <c r="BH193" i="9" s="1"/>
  <c r="BG192" i="9"/>
  <c r="BG193" i="9" s="1"/>
  <c r="BF192" i="9"/>
  <c r="BF193" i="9" s="1"/>
  <c r="BE192" i="9"/>
  <c r="BE193" i="9" s="1"/>
  <c r="BD192" i="9"/>
  <c r="BD193" i="9" s="1"/>
  <c r="BC192" i="9"/>
  <c r="BC193" i="9" s="1"/>
  <c r="BB192" i="9"/>
  <c r="BB193" i="9" s="1"/>
  <c r="BA192" i="9"/>
  <c r="BA193" i="9" s="1"/>
  <c r="AZ192" i="9"/>
  <c r="AZ193" i="9" s="1"/>
  <c r="AY192" i="9"/>
  <c r="AY193" i="9" s="1"/>
  <c r="BH190" i="9"/>
  <c r="BG190" i="9"/>
  <c r="BF190" i="9"/>
  <c r="BE190" i="9"/>
  <c r="BD190" i="9"/>
  <c r="BC190" i="9"/>
  <c r="BB190" i="9"/>
  <c r="BA190" i="9"/>
  <c r="AZ190" i="9"/>
  <c r="AY190" i="9"/>
  <c r="BI189" i="9"/>
  <c r="BH187" i="9"/>
  <c r="BG187" i="9"/>
  <c r="BF187" i="9"/>
  <c r="BE187" i="9"/>
  <c r="BD187" i="9"/>
  <c r="BC187" i="9"/>
  <c r="BB187" i="9"/>
  <c r="BA187" i="9"/>
  <c r="AZ187" i="9"/>
  <c r="AY187" i="9"/>
  <c r="BH185" i="9"/>
  <c r="BH186" i="9" s="1"/>
  <c r="BG185" i="9"/>
  <c r="BG186" i="9" s="1"/>
  <c r="BF185" i="9"/>
  <c r="BF186" i="9" s="1"/>
  <c r="BE185" i="9"/>
  <c r="BE186" i="9" s="1"/>
  <c r="BD185" i="9"/>
  <c r="BD186" i="9" s="1"/>
  <c r="BC185" i="9"/>
  <c r="BC186" i="9" s="1"/>
  <c r="BB185" i="9"/>
  <c r="BB186" i="9" s="1"/>
  <c r="BA185" i="9"/>
  <c r="BA186" i="9" s="1"/>
  <c r="AZ185" i="9"/>
  <c r="AZ186" i="9" s="1"/>
  <c r="AY185" i="9"/>
  <c r="AY186" i="9" s="1"/>
  <c r="BH183" i="9"/>
  <c r="BG183" i="9"/>
  <c r="BF183" i="9"/>
  <c r="BE183" i="9"/>
  <c r="BD183" i="9"/>
  <c r="BC183" i="9"/>
  <c r="BB183" i="9"/>
  <c r="BA183" i="9"/>
  <c r="AZ183" i="9"/>
  <c r="AY183" i="9"/>
  <c r="BI182" i="9"/>
  <c r="BH180" i="9"/>
  <c r="BG180" i="9"/>
  <c r="BF180" i="9"/>
  <c r="BE180" i="9"/>
  <c r="BD180" i="9"/>
  <c r="BC180" i="9"/>
  <c r="BB180" i="9"/>
  <c r="BA180" i="9"/>
  <c r="AZ180" i="9"/>
  <c r="AY180" i="9"/>
  <c r="BH178" i="9"/>
  <c r="BH179" i="9" s="1"/>
  <c r="BG178" i="9"/>
  <c r="BG179" i="9" s="1"/>
  <c r="BF178" i="9"/>
  <c r="BF179" i="9" s="1"/>
  <c r="BE178" i="9"/>
  <c r="BE179" i="9" s="1"/>
  <c r="BD178" i="9"/>
  <c r="BD179" i="9" s="1"/>
  <c r="BC178" i="9"/>
  <c r="BC179" i="9" s="1"/>
  <c r="BB178" i="9"/>
  <c r="BB179" i="9" s="1"/>
  <c r="BA178" i="9"/>
  <c r="BA179" i="9" s="1"/>
  <c r="AZ178" i="9"/>
  <c r="AZ179" i="9" s="1"/>
  <c r="AY178" i="9"/>
  <c r="AY179" i="9" s="1"/>
  <c r="BH176" i="9"/>
  <c r="BG176" i="9"/>
  <c r="BF176" i="9"/>
  <c r="BE176" i="9"/>
  <c r="BD176" i="9"/>
  <c r="BC176" i="9"/>
  <c r="BB176" i="9"/>
  <c r="BA176" i="9"/>
  <c r="AZ176" i="9"/>
  <c r="AY176" i="9"/>
  <c r="BI175" i="9"/>
  <c r="BH173" i="9"/>
  <c r="BG173" i="9"/>
  <c r="BF173" i="9"/>
  <c r="BE173" i="9"/>
  <c r="BD173" i="9"/>
  <c r="BC173" i="9"/>
  <c r="BB173" i="9"/>
  <c r="BA173" i="9"/>
  <c r="AZ173" i="9"/>
  <c r="AY173" i="9"/>
  <c r="BH171" i="9"/>
  <c r="BH172" i="9" s="1"/>
  <c r="BG171" i="9"/>
  <c r="BG172" i="9" s="1"/>
  <c r="BF171" i="9"/>
  <c r="BF172" i="9" s="1"/>
  <c r="BE171" i="9"/>
  <c r="BE172" i="9" s="1"/>
  <c r="BD171" i="9"/>
  <c r="BD172" i="9" s="1"/>
  <c r="BC171" i="9"/>
  <c r="BC172" i="9" s="1"/>
  <c r="BB171" i="9"/>
  <c r="BB172" i="9" s="1"/>
  <c r="BA171" i="9"/>
  <c r="BA172" i="9" s="1"/>
  <c r="AZ171" i="9"/>
  <c r="AZ172" i="9" s="1"/>
  <c r="AY171" i="9"/>
  <c r="AY172" i="9" s="1"/>
  <c r="Q143" i="9"/>
  <c r="P143" i="9"/>
  <c r="O143" i="9"/>
  <c r="N143" i="9"/>
  <c r="M143" i="9"/>
  <c r="L143" i="9"/>
  <c r="K143" i="9"/>
  <c r="J143" i="9"/>
  <c r="I143" i="9"/>
  <c r="H143" i="9"/>
  <c r="G143" i="9"/>
  <c r="F143" i="9"/>
  <c r="E143" i="9"/>
  <c r="D143" i="9"/>
  <c r="C143" i="9"/>
  <c r="Q142" i="9"/>
  <c r="P142" i="9"/>
  <c r="O142" i="9"/>
  <c r="N142" i="9"/>
  <c r="M142" i="9"/>
  <c r="L142" i="9"/>
  <c r="K142" i="9"/>
  <c r="J142" i="9"/>
  <c r="I142" i="9"/>
  <c r="H142" i="9"/>
  <c r="G142" i="9"/>
  <c r="F142" i="9"/>
  <c r="E142" i="9"/>
  <c r="D142" i="9"/>
  <c r="C142" i="9"/>
  <c r="Q141" i="9"/>
  <c r="P141" i="9"/>
  <c r="O141" i="9"/>
  <c r="N141" i="9"/>
  <c r="M141" i="9"/>
  <c r="L141" i="9"/>
  <c r="K141" i="9"/>
  <c r="J141" i="9"/>
  <c r="I141" i="9"/>
  <c r="H141" i="9"/>
  <c r="G141" i="9"/>
  <c r="F141" i="9"/>
  <c r="E141" i="9"/>
  <c r="D141" i="9"/>
  <c r="C141" i="9"/>
  <c r="T140" i="9"/>
  <c r="Q140" i="9"/>
  <c r="P140" i="9"/>
  <c r="O140" i="9"/>
  <c r="N140" i="9"/>
  <c r="M140" i="9"/>
  <c r="L140" i="9"/>
  <c r="G140" i="9"/>
  <c r="E140" i="9"/>
  <c r="D140" i="9"/>
  <c r="T139" i="9"/>
  <c r="Q139" i="9"/>
  <c r="P139" i="9"/>
  <c r="O139" i="9"/>
  <c r="N139" i="9"/>
  <c r="M139" i="9"/>
  <c r="L139" i="9"/>
  <c r="K139" i="9"/>
  <c r="J139" i="9"/>
  <c r="I139" i="9"/>
  <c r="H139" i="9"/>
  <c r="G139" i="9"/>
  <c r="E139" i="9"/>
  <c r="D139" i="9"/>
  <c r="T138" i="9"/>
  <c r="N138" i="9"/>
  <c r="M138" i="9"/>
  <c r="L138" i="9"/>
  <c r="K138" i="9"/>
  <c r="G138" i="9"/>
  <c r="C138" i="9"/>
  <c r="T137" i="9"/>
  <c r="P137" i="9"/>
  <c r="O137" i="9"/>
  <c r="N137" i="9"/>
  <c r="M137" i="9"/>
  <c r="L137" i="9"/>
  <c r="G137" i="9"/>
  <c r="C137" i="9"/>
  <c r="T136" i="9"/>
  <c r="Q136" i="9"/>
  <c r="P136" i="9"/>
  <c r="O136" i="9"/>
  <c r="N136" i="9"/>
  <c r="M136" i="9"/>
  <c r="L136" i="9"/>
  <c r="K136" i="9"/>
  <c r="J136" i="9"/>
  <c r="H136" i="9"/>
  <c r="G136" i="9"/>
  <c r="E136" i="9"/>
  <c r="C136" i="9"/>
  <c r="T135" i="9"/>
  <c r="O135" i="9"/>
  <c r="N135" i="9"/>
  <c r="M135" i="9"/>
  <c r="L135" i="9"/>
  <c r="K135" i="9"/>
  <c r="H135" i="9"/>
  <c r="G135" i="9"/>
  <c r="C135" i="9"/>
  <c r="T134" i="9"/>
  <c r="Q134" i="9"/>
  <c r="O134" i="9"/>
  <c r="N134" i="9"/>
  <c r="M134" i="9"/>
  <c r="L134" i="9"/>
  <c r="G134" i="9"/>
  <c r="C134" i="9"/>
  <c r="T133" i="9"/>
  <c r="Q133" i="9"/>
  <c r="P133" i="9"/>
  <c r="O133" i="9"/>
  <c r="N133" i="9"/>
  <c r="M133" i="9"/>
  <c r="L133" i="9"/>
  <c r="G133" i="9"/>
  <c r="E133" i="9"/>
  <c r="D133" i="9"/>
  <c r="T132" i="9"/>
  <c r="Q132" i="9"/>
  <c r="P132" i="9"/>
  <c r="O132" i="9"/>
  <c r="N132" i="9"/>
  <c r="M132" i="9"/>
  <c r="L132" i="9"/>
  <c r="K132" i="9"/>
  <c r="J132" i="9"/>
  <c r="I132" i="9"/>
  <c r="H132" i="9"/>
  <c r="G132" i="9"/>
  <c r="E132" i="9"/>
  <c r="D132" i="9"/>
  <c r="T131" i="9"/>
  <c r="N131" i="9"/>
  <c r="M131" i="9"/>
  <c r="L131" i="9"/>
  <c r="I131" i="9"/>
  <c r="H131" i="9"/>
  <c r="G131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E130" i="9"/>
  <c r="D130" i="9"/>
  <c r="C130" i="9"/>
  <c r="AJ129" i="9"/>
  <c r="AI129" i="9"/>
  <c r="AH129" i="9"/>
  <c r="AG129" i="9"/>
  <c r="AF129" i="9"/>
  <c r="AE129" i="9"/>
  <c r="AD129" i="9"/>
  <c r="AC129" i="9"/>
  <c r="AB129" i="9"/>
  <c r="AA129" i="9"/>
  <c r="Z129" i="9"/>
  <c r="Y129" i="9"/>
  <c r="X129" i="9"/>
  <c r="W129" i="9"/>
  <c r="V129" i="9"/>
  <c r="Q128" i="9"/>
  <c r="P128" i="9"/>
  <c r="O128" i="9"/>
  <c r="N128" i="9"/>
  <c r="M128" i="9"/>
  <c r="L128" i="9"/>
  <c r="K128" i="9"/>
  <c r="J128" i="9"/>
  <c r="I128" i="9"/>
  <c r="H128" i="9"/>
  <c r="G128" i="9"/>
  <c r="F128" i="9"/>
  <c r="E128" i="9"/>
  <c r="D128" i="9"/>
  <c r="C128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E123" i="9"/>
  <c r="D123" i="9"/>
  <c r="C123" i="9"/>
  <c r="Q122" i="9"/>
  <c r="P122" i="9"/>
  <c r="O122" i="9"/>
  <c r="N122" i="9"/>
  <c r="M122" i="9"/>
  <c r="L122" i="9"/>
  <c r="K122" i="9"/>
  <c r="J122" i="9"/>
  <c r="I122" i="9"/>
  <c r="H122" i="9"/>
  <c r="G122" i="9"/>
  <c r="F122" i="9"/>
  <c r="E122" i="9"/>
  <c r="D122" i="9"/>
  <c r="C122" i="9"/>
  <c r="T121" i="9"/>
  <c r="Q121" i="9"/>
  <c r="P121" i="9"/>
  <c r="O121" i="9"/>
  <c r="N121" i="9"/>
  <c r="M121" i="9"/>
  <c r="L121" i="9"/>
  <c r="H121" i="9"/>
  <c r="G121" i="9"/>
  <c r="E121" i="9"/>
  <c r="T120" i="9"/>
  <c r="Q120" i="9"/>
  <c r="P120" i="9"/>
  <c r="O120" i="9"/>
  <c r="K120" i="9"/>
  <c r="J120" i="9"/>
  <c r="I120" i="9"/>
  <c r="H120" i="9"/>
  <c r="F120" i="9"/>
  <c r="E120" i="9"/>
  <c r="D120" i="9"/>
  <c r="T119" i="9"/>
  <c r="Q119" i="9"/>
  <c r="K119" i="9"/>
  <c r="J119" i="9"/>
  <c r="I119" i="9"/>
  <c r="H119" i="9"/>
  <c r="F119" i="9"/>
  <c r="E119" i="9"/>
  <c r="D119" i="9"/>
  <c r="T118" i="9"/>
  <c r="Q118" i="9"/>
  <c r="N118" i="9"/>
  <c r="M118" i="9"/>
  <c r="L118" i="9"/>
  <c r="H118" i="9"/>
  <c r="G118" i="9"/>
  <c r="E118" i="9"/>
  <c r="C118" i="9"/>
  <c r="T117" i="9"/>
  <c r="Q117" i="9"/>
  <c r="P117" i="9"/>
  <c r="O117" i="9"/>
  <c r="K117" i="9"/>
  <c r="J117" i="9"/>
  <c r="I117" i="9"/>
  <c r="H117" i="9"/>
  <c r="F117" i="9"/>
  <c r="E117" i="9"/>
  <c r="D117" i="9"/>
  <c r="T116" i="9"/>
  <c r="Q116" i="9"/>
  <c r="N116" i="9"/>
  <c r="L116" i="9"/>
  <c r="K116" i="9"/>
  <c r="J116" i="9"/>
  <c r="I116" i="9"/>
  <c r="H116" i="9"/>
  <c r="F116" i="9"/>
  <c r="E116" i="9"/>
  <c r="D116" i="9"/>
  <c r="C116" i="9"/>
  <c r="T115" i="9"/>
  <c r="Q115" i="9"/>
  <c r="P115" i="9"/>
  <c r="N115" i="9"/>
  <c r="M115" i="9"/>
  <c r="L115" i="9"/>
  <c r="H115" i="9"/>
  <c r="G115" i="9"/>
  <c r="E115" i="9"/>
  <c r="C115" i="9"/>
  <c r="T114" i="9"/>
  <c r="Q114" i="9"/>
  <c r="P114" i="9"/>
  <c r="O114" i="9"/>
  <c r="N114" i="9"/>
  <c r="M114" i="9"/>
  <c r="L114" i="9"/>
  <c r="H114" i="9"/>
  <c r="G114" i="9"/>
  <c r="E114" i="9"/>
  <c r="T113" i="9"/>
  <c r="Q113" i="9"/>
  <c r="P113" i="9"/>
  <c r="O113" i="9"/>
  <c r="K113" i="9"/>
  <c r="J113" i="9"/>
  <c r="I113" i="9"/>
  <c r="H113" i="9"/>
  <c r="F113" i="9"/>
  <c r="E113" i="9"/>
  <c r="D113" i="9"/>
  <c r="T112" i="9"/>
  <c r="Q112" i="9"/>
  <c r="M112" i="9"/>
  <c r="L112" i="9"/>
  <c r="K112" i="9"/>
  <c r="J112" i="9"/>
  <c r="I112" i="9"/>
  <c r="H112" i="9"/>
  <c r="F112" i="9"/>
  <c r="E112" i="9"/>
  <c r="D112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C111" i="9"/>
  <c r="AJ110" i="9"/>
  <c r="AI110" i="9"/>
  <c r="AH110" i="9"/>
  <c r="AG110" i="9"/>
  <c r="AF110" i="9"/>
  <c r="AE110" i="9"/>
  <c r="AD110" i="9"/>
  <c r="AC110" i="9"/>
  <c r="AB110" i="9"/>
  <c r="AA110" i="9"/>
  <c r="Z110" i="9"/>
  <c r="Y110" i="9"/>
  <c r="X110" i="9"/>
  <c r="W110" i="9"/>
  <c r="V110" i="9"/>
  <c r="T110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C109" i="9"/>
  <c r="Y47" i="9"/>
  <c r="X47" i="9"/>
  <c r="W47" i="9"/>
  <c r="V47" i="9"/>
  <c r="U47" i="9"/>
  <c r="T47" i="9"/>
  <c r="S47" i="9"/>
  <c r="R47" i="9"/>
  <c r="Q47" i="9"/>
  <c r="P47" i="9"/>
  <c r="L47" i="9"/>
  <c r="K47" i="9"/>
  <c r="J47" i="9"/>
  <c r="I47" i="9"/>
  <c r="H47" i="9"/>
  <c r="G47" i="9"/>
  <c r="F47" i="9"/>
  <c r="E47" i="9"/>
  <c r="D47" i="9"/>
  <c r="C47" i="9"/>
  <c r="M46" i="9"/>
  <c r="AA46" i="9" s="1"/>
  <c r="BJ210" i="9" s="1"/>
  <c r="Y43" i="9"/>
  <c r="X43" i="9"/>
  <c r="W43" i="9"/>
  <c r="V43" i="9"/>
  <c r="U43" i="9"/>
  <c r="T43" i="9"/>
  <c r="S43" i="9"/>
  <c r="R43" i="9"/>
  <c r="Q43" i="9"/>
  <c r="P43" i="9"/>
  <c r="L43" i="9"/>
  <c r="K43" i="9"/>
  <c r="J43" i="9"/>
  <c r="I43" i="9"/>
  <c r="H43" i="9"/>
  <c r="G43" i="9"/>
  <c r="F43" i="9"/>
  <c r="E43" i="9"/>
  <c r="D43" i="9"/>
  <c r="C43" i="9"/>
  <c r="Y39" i="9"/>
  <c r="X39" i="9"/>
  <c r="W39" i="9"/>
  <c r="V39" i="9"/>
  <c r="U39" i="9"/>
  <c r="T39" i="9"/>
  <c r="S39" i="9"/>
  <c r="R39" i="9"/>
  <c r="Q39" i="9"/>
  <c r="P39" i="9"/>
  <c r="L39" i="9"/>
  <c r="K39" i="9"/>
  <c r="J39" i="9"/>
  <c r="I39" i="9"/>
  <c r="H39" i="9"/>
  <c r="G39" i="9"/>
  <c r="F39" i="9"/>
  <c r="E39" i="9"/>
  <c r="D39" i="9"/>
  <c r="C39" i="9"/>
  <c r="M38" i="9"/>
  <c r="AA38" i="9" s="1"/>
  <c r="BJ196" i="9" s="1"/>
  <c r="Y35" i="9"/>
  <c r="X35" i="9"/>
  <c r="W35" i="9"/>
  <c r="V35" i="9"/>
  <c r="U35" i="9"/>
  <c r="T35" i="9"/>
  <c r="S35" i="9"/>
  <c r="R35" i="9"/>
  <c r="Q35" i="9"/>
  <c r="P35" i="9"/>
  <c r="L35" i="9"/>
  <c r="K35" i="9"/>
  <c r="J35" i="9"/>
  <c r="I35" i="9"/>
  <c r="H35" i="9"/>
  <c r="G35" i="9"/>
  <c r="F35" i="9"/>
  <c r="E35" i="9"/>
  <c r="D35" i="9"/>
  <c r="C35" i="9"/>
  <c r="Y31" i="9"/>
  <c r="X31" i="9"/>
  <c r="W31" i="9"/>
  <c r="V31" i="9"/>
  <c r="U31" i="9"/>
  <c r="T31" i="9"/>
  <c r="S31" i="9"/>
  <c r="R31" i="9"/>
  <c r="Q31" i="9"/>
  <c r="P31" i="9"/>
  <c r="L31" i="9"/>
  <c r="K31" i="9"/>
  <c r="J31" i="9"/>
  <c r="I31" i="9"/>
  <c r="H31" i="9"/>
  <c r="G31" i="9"/>
  <c r="F31" i="9"/>
  <c r="E31" i="9"/>
  <c r="D31" i="9"/>
  <c r="C31" i="9"/>
  <c r="M30" i="9"/>
  <c r="AA30" i="9" s="1"/>
  <c r="BJ182" i="9" s="1"/>
  <c r="Y27" i="9"/>
  <c r="X27" i="9"/>
  <c r="W27" i="9"/>
  <c r="V27" i="9"/>
  <c r="U27" i="9"/>
  <c r="T27" i="9"/>
  <c r="S27" i="9"/>
  <c r="R27" i="9"/>
  <c r="Q27" i="9"/>
  <c r="P27" i="9"/>
  <c r="L27" i="9"/>
  <c r="K27" i="9"/>
  <c r="J27" i="9"/>
  <c r="I27" i="9"/>
  <c r="H27" i="9"/>
  <c r="G27" i="9"/>
  <c r="F27" i="9"/>
  <c r="E27" i="9"/>
  <c r="D27" i="9"/>
  <c r="C27" i="9"/>
  <c r="T109" i="9" l="1"/>
  <c r="T128" i="9"/>
  <c r="R141" i="9"/>
  <c r="J121" i="9"/>
  <c r="K140" i="9"/>
  <c r="F140" i="9"/>
  <c r="F121" i="9"/>
  <c r="L119" i="9"/>
  <c r="G112" i="9"/>
  <c r="G119" i="9"/>
  <c r="M119" i="9"/>
  <c r="J114" i="9"/>
  <c r="D137" i="9"/>
  <c r="L117" i="9"/>
  <c r="C112" i="9"/>
  <c r="I114" i="9"/>
  <c r="I121" i="9"/>
  <c r="C132" i="9"/>
  <c r="C139" i="9"/>
  <c r="R139" i="9" s="1"/>
  <c r="AD133" i="9" s="1"/>
  <c r="O115" i="9"/>
  <c r="G116" i="9"/>
  <c r="O118" i="9"/>
  <c r="K114" i="9"/>
  <c r="J118" i="9"/>
  <c r="K133" i="9"/>
  <c r="P119" i="9"/>
  <c r="P118" i="9"/>
  <c r="I115" i="9"/>
  <c r="F133" i="9"/>
  <c r="F132" i="9"/>
  <c r="K121" i="9"/>
  <c r="E134" i="9"/>
  <c r="K134" i="9"/>
  <c r="K131" i="9"/>
  <c r="P131" i="9"/>
  <c r="H133" i="9"/>
  <c r="H137" i="9"/>
  <c r="H140" i="9"/>
  <c r="M113" i="9"/>
  <c r="F118" i="9"/>
  <c r="D135" i="9"/>
  <c r="K137" i="9"/>
  <c r="D138" i="9"/>
  <c r="P112" i="9"/>
  <c r="J115" i="9"/>
  <c r="P116" i="9"/>
  <c r="M117" i="9"/>
  <c r="P138" i="9"/>
  <c r="M120" i="9"/>
  <c r="D131" i="9"/>
  <c r="H134" i="9"/>
  <c r="P135" i="9"/>
  <c r="Q135" i="9"/>
  <c r="F134" i="9"/>
  <c r="C133" i="9"/>
  <c r="L113" i="9"/>
  <c r="I118" i="9"/>
  <c r="L120" i="9"/>
  <c r="Q131" i="9"/>
  <c r="Q138" i="9"/>
  <c r="O131" i="9"/>
  <c r="K115" i="9"/>
  <c r="G117" i="9"/>
  <c r="K118" i="9"/>
  <c r="O119" i="9"/>
  <c r="G120" i="9"/>
  <c r="BI194" i="9"/>
  <c r="Z36" i="9"/>
  <c r="M36" i="9"/>
  <c r="M44" i="9"/>
  <c r="BI187" i="9"/>
  <c r="R136" i="9"/>
  <c r="AA133" i="9" s="1"/>
  <c r="R130" i="9"/>
  <c r="R111" i="9"/>
  <c r="Z44" i="9"/>
  <c r="BI208" i="9"/>
  <c r="BI201" i="9"/>
  <c r="BI180" i="9"/>
  <c r="Z28" i="9"/>
  <c r="M28" i="9"/>
  <c r="BI173" i="9"/>
  <c r="R140" i="9" l="1"/>
  <c r="AE133" i="9" s="1"/>
  <c r="R112" i="9"/>
  <c r="V114" i="9" s="1"/>
  <c r="R119" i="9"/>
  <c r="AC114" i="9" s="1"/>
  <c r="R132" i="9"/>
  <c r="W133" i="9" s="1"/>
  <c r="R113" i="9"/>
  <c r="W114" i="9" s="1"/>
  <c r="R114" i="9"/>
  <c r="X114" i="9" s="1"/>
  <c r="R121" i="9"/>
  <c r="AE114" i="9" s="1"/>
  <c r="R116" i="9"/>
  <c r="Z114" i="9" s="1"/>
  <c r="R133" i="9"/>
  <c r="X133" i="9" s="1"/>
  <c r="R118" i="9"/>
  <c r="AB114" i="9" s="1"/>
  <c r="R117" i="9"/>
  <c r="AA114" i="9" s="1"/>
  <c r="R115" i="9"/>
  <c r="Y114" i="9" s="1"/>
  <c r="R134" i="9"/>
  <c r="Y133" i="9" s="1"/>
  <c r="R137" i="9"/>
  <c r="AB133" i="9" s="1"/>
  <c r="R135" i="9"/>
  <c r="Z133" i="9" s="1"/>
  <c r="R138" i="9"/>
  <c r="AC133" i="9" s="1"/>
  <c r="R131" i="9"/>
  <c r="V133" i="9" s="1"/>
  <c r="R120" i="9"/>
  <c r="AD114" i="9" s="1"/>
  <c r="AA191" i="6" l="1"/>
  <c r="O236" i="6"/>
  <c r="L28" i="5"/>
  <c r="N74" i="5"/>
  <c r="N57" i="5"/>
  <c r="D24" i="5"/>
  <c r="E73" i="5" s="1"/>
  <c r="E24" i="5"/>
  <c r="F24" i="5"/>
  <c r="G73" i="5" s="1"/>
  <c r="G24" i="5"/>
  <c r="H73" i="5"/>
  <c r="H24" i="5"/>
  <c r="I24" i="5"/>
  <c r="J73" i="5" s="1"/>
  <c r="J24" i="5"/>
  <c r="K24" i="5"/>
  <c r="L24" i="5"/>
  <c r="M24" i="5"/>
  <c r="C24" i="5"/>
  <c r="Q4" i="5"/>
  <c r="C6" i="5"/>
  <c r="D6" i="5"/>
  <c r="E6" i="5"/>
  <c r="F56" i="5"/>
  <c r="F6" i="5"/>
  <c r="G56" i="5"/>
  <c r="G6" i="5"/>
  <c r="H6" i="5"/>
  <c r="I6" i="5"/>
  <c r="J56" i="5"/>
  <c r="J6" i="5"/>
  <c r="K56" i="5"/>
  <c r="K6" i="5"/>
  <c r="L6" i="5"/>
  <c r="M6" i="5"/>
  <c r="B6" i="5"/>
  <c r="C56" i="5" s="1"/>
  <c r="N56" i="5" s="1"/>
  <c r="D14" i="5" s="1"/>
  <c r="C99" i="5"/>
  <c r="C76" i="5" s="1"/>
  <c r="C71" i="5"/>
  <c r="D99" i="5"/>
  <c r="E76" i="5" s="1"/>
  <c r="E99" i="5"/>
  <c r="F99" i="5"/>
  <c r="G99" i="5"/>
  <c r="C54" i="5"/>
  <c r="C68" i="5" s="1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W99" i="5"/>
  <c r="X99" i="5"/>
  <c r="Y99" i="5"/>
  <c r="Z99" i="5"/>
  <c r="AA99" i="5"/>
  <c r="AB99" i="5"/>
  <c r="C100" i="5"/>
  <c r="C77" i="5" s="1"/>
  <c r="D100" i="5"/>
  <c r="E100" i="5"/>
  <c r="F100" i="5"/>
  <c r="G100" i="5"/>
  <c r="D77" i="5" s="1"/>
  <c r="H100" i="5"/>
  <c r="I100" i="5"/>
  <c r="J100" i="5"/>
  <c r="K100" i="5"/>
  <c r="L100" i="5"/>
  <c r="F71" i="5"/>
  <c r="F85" i="5" s="1"/>
  <c r="M100" i="5"/>
  <c r="N100" i="5"/>
  <c r="O100" i="5"/>
  <c r="P100" i="5"/>
  <c r="Q100" i="5"/>
  <c r="R100" i="5"/>
  <c r="S100" i="5"/>
  <c r="T100" i="5"/>
  <c r="U100" i="5"/>
  <c r="V100" i="5"/>
  <c r="W100" i="5"/>
  <c r="X100" i="5"/>
  <c r="Y100" i="5"/>
  <c r="Z100" i="5"/>
  <c r="AA100" i="5"/>
  <c r="AB100" i="5"/>
  <c r="G60" i="5" s="1"/>
  <c r="C101" i="5"/>
  <c r="C78" i="5" s="1"/>
  <c r="D101" i="5"/>
  <c r="D61" i="5" s="1"/>
  <c r="E101" i="5"/>
  <c r="F101" i="5"/>
  <c r="G101" i="5"/>
  <c r="H101" i="5"/>
  <c r="I101" i="5"/>
  <c r="J101" i="5"/>
  <c r="K101" i="5"/>
  <c r="L101" i="5"/>
  <c r="M101" i="5"/>
  <c r="N101" i="5"/>
  <c r="O101" i="5"/>
  <c r="P101" i="5"/>
  <c r="Q101" i="5"/>
  <c r="R101" i="5"/>
  <c r="F61" i="5" s="1"/>
  <c r="S101" i="5"/>
  <c r="T101" i="5"/>
  <c r="U101" i="5"/>
  <c r="V101" i="5"/>
  <c r="W101" i="5"/>
  <c r="X101" i="5"/>
  <c r="Y101" i="5"/>
  <c r="Z101" i="5"/>
  <c r="AA101" i="5"/>
  <c r="AB101" i="5"/>
  <c r="G78" i="5" s="1"/>
  <c r="C102" i="5"/>
  <c r="C79" i="5" s="1"/>
  <c r="D102" i="5"/>
  <c r="D62" i="5" s="1"/>
  <c r="E102" i="5"/>
  <c r="F102" i="5"/>
  <c r="G102" i="5"/>
  <c r="H102" i="5"/>
  <c r="I102" i="5"/>
  <c r="J102" i="5"/>
  <c r="K102" i="5"/>
  <c r="L102" i="5"/>
  <c r="E62" i="5" s="1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G79" i="5" s="1"/>
  <c r="G71" i="5"/>
  <c r="C103" i="5"/>
  <c r="C80" i="5" s="1"/>
  <c r="D103" i="5"/>
  <c r="E103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G80" i="5" s="1"/>
  <c r="C104" i="5"/>
  <c r="C81" i="5" s="1"/>
  <c r="D104" i="5"/>
  <c r="E104" i="5"/>
  <c r="F104" i="5"/>
  <c r="G104" i="5"/>
  <c r="D81" i="5" s="1"/>
  <c r="H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G81" i="5" s="1"/>
  <c r="C105" i="5"/>
  <c r="C82" i="5" s="1"/>
  <c r="D105" i="5"/>
  <c r="E105" i="5"/>
  <c r="F105" i="5"/>
  <c r="G105" i="5"/>
  <c r="H105" i="5"/>
  <c r="I105" i="5"/>
  <c r="J105" i="5"/>
  <c r="K105" i="5"/>
  <c r="L105" i="5"/>
  <c r="M105" i="5"/>
  <c r="N105" i="5"/>
  <c r="O105" i="5"/>
  <c r="P105" i="5"/>
  <c r="Q105" i="5"/>
  <c r="R105" i="5"/>
  <c r="F54" i="5"/>
  <c r="F57" i="5" s="1"/>
  <c r="S105" i="5"/>
  <c r="T105" i="5"/>
  <c r="U105" i="5"/>
  <c r="V105" i="5"/>
  <c r="W105" i="5"/>
  <c r="X105" i="5"/>
  <c r="Y105" i="5"/>
  <c r="Z105" i="5"/>
  <c r="AA105" i="5"/>
  <c r="AB105" i="5"/>
  <c r="G65" i="5" s="1"/>
  <c r="C106" i="5"/>
  <c r="C83" i="5" s="1"/>
  <c r="D106" i="5"/>
  <c r="D66" i="5" s="1"/>
  <c r="D54" i="5"/>
  <c r="E106" i="5"/>
  <c r="F106" i="5"/>
  <c r="G106" i="5"/>
  <c r="H106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W106" i="5"/>
  <c r="X106" i="5"/>
  <c r="Y106" i="5"/>
  <c r="Z106" i="5"/>
  <c r="AA106" i="5"/>
  <c r="AB106" i="5"/>
  <c r="G83" i="5" s="1"/>
  <c r="C107" i="5"/>
  <c r="D107" i="5"/>
  <c r="E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D98" i="5"/>
  <c r="D58" i="5" s="1"/>
  <c r="E98" i="5"/>
  <c r="F98" i="5"/>
  <c r="G98" i="5"/>
  <c r="H98" i="5"/>
  <c r="I98" i="5"/>
  <c r="J98" i="5"/>
  <c r="K98" i="5"/>
  <c r="L98" i="5"/>
  <c r="M98" i="5"/>
  <c r="N98" i="5"/>
  <c r="O98" i="5"/>
  <c r="P98" i="5"/>
  <c r="Q98" i="5"/>
  <c r="R98" i="5"/>
  <c r="F58" i="5" s="1"/>
  <c r="S98" i="5"/>
  <c r="T98" i="5"/>
  <c r="U98" i="5"/>
  <c r="V98" i="5"/>
  <c r="W98" i="5"/>
  <c r="X98" i="5"/>
  <c r="Y98" i="5"/>
  <c r="Z98" i="5"/>
  <c r="AA98" i="5"/>
  <c r="AB98" i="5"/>
  <c r="G75" i="5" s="1"/>
  <c r="C98" i="5"/>
  <c r="C75" i="5" s="1"/>
  <c r="AB176" i="5"/>
  <c r="AA176" i="5"/>
  <c r="Z176" i="5"/>
  <c r="Y176" i="5"/>
  <c r="X176" i="5"/>
  <c r="W176" i="5"/>
  <c r="V176" i="5"/>
  <c r="U176" i="5"/>
  <c r="T176" i="5"/>
  <c r="AB175" i="5"/>
  <c r="AA175" i="5"/>
  <c r="Z175" i="5"/>
  <c r="Y175" i="5"/>
  <c r="X175" i="5"/>
  <c r="W175" i="5"/>
  <c r="V175" i="5"/>
  <c r="U175" i="5"/>
  <c r="T175" i="5"/>
  <c r="AB174" i="5"/>
  <c r="AA174" i="5"/>
  <c r="Z174" i="5"/>
  <c r="Y174" i="5"/>
  <c r="X174" i="5"/>
  <c r="W174" i="5"/>
  <c r="V174" i="5"/>
  <c r="U174" i="5"/>
  <c r="T174" i="5"/>
  <c r="AB173" i="5"/>
  <c r="AA173" i="5"/>
  <c r="Z173" i="5"/>
  <c r="Y173" i="5"/>
  <c r="X173" i="5"/>
  <c r="W173" i="5"/>
  <c r="V173" i="5"/>
  <c r="U173" i="5"/>
  <c r="T173" i="5"/>
  <c r="AB172" i="5"/>
  <c r="AA172" i="5"/>
  <c r="Z172" i="5"/>
  <c r="Y172" i="5"/>
  <c r="X172" i="5"/>
  <c r="W172" i="5"/>
  <c r="V172" i="5"/>
  <c r="U172" i="5"/>
  <c r="T172" i="5"/>
  <c r="AB171" i="5"/>
  <c r="AA171" i="5"/>
  <c r="Z171" i="5"/>
  <c r="Y171" i="5"/>
  <c r="X171" i="5"/>
  <c r="W171" i="5"/>
  <c r="V171" i="5"/>
  <c r="U171" i="5"/>
  <c r="T171" i="5"/>
  <c r="AB170" i="5"/>
  <c r="AA170" i="5"/>
  <c r="Z170" i="5"/>
  <c r="Y170" i="5"/>
  <c r="X170" i="5"/>
  <c r="W170" i="5"/>
  <c r="V170" i="5"/>
  <c r="U170" i="5"/>
  <c r="T170" i="5"/>
  <c r="AB169" i="5"/>
  <c r="AA169" i="5"/>
  <c r="Z169" i="5"/>
  <c r="Y169" i="5"/>
  <c r="X169" i="5"/>
  <c r="W169" i="5"/>
  <c r="V169" i="5"/>
  <c r="U169" i="5"/>
  <c r="T169" i="5"/>
  <c r="AB168" i="5"/>
  <c r="AA168" i="5"/>
  <c r="Z168" i="5"/>
  <c r="Y168" i="5"/>
  <c r="X168" i="5"/>
  <c r="W168" i="5"/>
  <c r="V168" i="5"/>
  <c r="U168" i="5"/>
  <c r="T168" i="5"/>
  <c r="J150" i="5"/>
  <c r="J167" i="5"/>
  <c r="AB167" i="5" s="1"/>
  <c r="F150" i="5"/>
  <c r="F167" i="5" s="1"/>
  <c r="X167" i="5" s="1"/>
  <c r="B150" i="5"/>
  <c r="B167" i="5"/>
  <c r="T167" i="5" s="1"/>
  <c r="AB163" i="5"/>
  <c r="AA163" i="5"/>
  <c r="Z163" i="5"/>
  <c r="Y163" i="5"/>
  <c r="X163" i="5"/>
  <c r="W163" i="5"/>
  <c r="V163" i="5"/>
  <c r="U163" i="5"/>
  <c r="T163" i="5"/>
  <c r="AB162" i="5"/>
  <c r="AA162" i="5"/>
  <c r="Z162" i="5"/>
  <c r="Y162" i="5"/>
  <c r="X162" i="5"/>
  <c r="W162" i="5"/>
  <c r="V162" i="5"/>
  <c r="U162" i="5"/>
  <c r="T162" i="5"/>
  <c r="AB161" i="5"/>
  <c r="AA161" i="5"/>
  <c r="Z161" i="5"/>
  <c r="Y161" i="5"/>
  <c r="X161" i="5"/>
  <c r="W161" i="5"/>
  <c r="V161" i="5"/>
  <c r="U161" i="5"/>
  <c r="T161" i="5"/>
  <c r="AB160" i="5"/>
  <c r="AA160" i="5"/>
  <c r="Z160" i="5"/>
  <c r="Y160" i="5"/>
  <c r="X160" i="5"/>
  <c r="W160" i="5"/>
  <c r="V160" i="5"/>
  <c r="U160" i="5"/>
  <c r="T160" i="5"/>
  <c r="AB159" i="5"/>
  <c r="AA159" i="5"/>
  <c r="Z159" i="5"/>
  <c r="Y159" i="5"/>
  <c r="X159" i="5"/>
  <c r="W159" i="5"/>
  <c r="V159" i="5"/>
  <c r="U159" i="5"/>
  <c r="T159" i="5"/>
  <c r="AB158" i="5"/>
  <c r="AA158" i="5"/>
  <c r="Z158" i="5"/>
  <c r="Y158" i="5"/>
  <c r="X158" i="5"/>
  <c r="W158" i="5"/>
  <c r="V158" i="5"/>
  <c r="U158" i="5"/>
  <c r="T158" i="5"/>
  <c r="AB157" i="5"/>
  <c r="AA157" i="5"/>
  <c r="Z157" i="5"/>
  <c r="Y157" i="5"/>
  <c r="X157" i="5"/>
  <c r="W157" i="5"/>
  <c r="V157" i="5"/>
  <c r="U157" i="5"/>
  <c r="T157" i="5"/>
  <c r="AB156" i="5"/>
  <c r="AA156" i="5"/>
  <c r="Z156" i="5"/>
  <c r="Y156" i="5"/>
  <c r="X156" i="5"/>
  <c r="W156" i="5"/>
  <c r="V156" i="5"/>
  <c r="U156" i="5"/>
  <c r="T156" i="5"/>
  <c r="AB155" i="5"/>
  <c r="AA155" i="5"/>
  <c r="Z155" i="5"/>
  <c r="Y155" i="5"/>
  <c r="X155" i="5"/>
  <c r="W155" i="5"/>
  <c r="V155" i="5"/>
  <c r="U155" i="5"/>
  <c r="T155" i="5"/>
  <c r="AB154" i="5"/>
  <c r="AA154" i="5"/>
  <c r="Z154" i="5"/>
  <c r="Y154" i="5"/>
  <c r="X154" i="5"/>
  <c r="W154" i="5"/>
  <c r="V154" i="5"/>
  <c r="U154" i="5"/>
  <c r="T154" i="5"/>
  <c r="AB153" i="5"/>
  <c r="AA153" i="5"/>
  <c r="Z153" i="5"/>
  <c r="Y153" i="5"/>
  <c r="X153" i="5"/>
  <c r="W153" i="5"/>
  <c r="V153" i="5"/>
  <c r="U153" i="5"/>
  <c r="T153" i="5"/>
  <c r="AB152" i="5"/>
  <c r="AA152" i="5"/>
  <c r="Z152" i="5"/>
  <c r="Y152" i="5"/>
  <c r="X152" i="5"/>
  <c r="W152" i="5"/>
  <c r="V152" i="5"/>
  <c r="U152" i="5"/>
  <c r="T152" i="5"/>
  <c r="AB151" i="5"/>
  <c r="AA151" i="5"/>
  <c r="Z151" i="5"/>
  <c r="Y151" i="5"/>
  <c r="X151" i="5"/>
  <c r="W151" i="5"/>
  <c r="V151" i="5"/>
  <c r="U151" i="5"/>
  <c r="T151" i="5"/>
  <c r="H150" i="5"/>
  <c r="Z150" i="5"/>
  <c r="D150" i="5"/>
  <c r="D167" i="5" s="1"/>
  <c r="V167" i="5" s="1"/>
  <c r="V150" i="5"/>
  <c r="AB150" i="5"/>
  <c r="I150" i="5"/>
  <c r="I167" i="5" s="1"/>
  <c r="AA167" i="5" s="1"/>
  <c r="H167" i="5"/>
  <c r="Z167" i="5"/>
  <c r="G150" i="5"/>
  <c r="Y150" i="5"/>
  <c r="E150" i="5"/>
  <c r="E167" i="5" s="1"/>
  <c r="W167" i="5" s="1"/>
  <c r="C150" i="5"/>
  <c r="U150" i="5"/>
  <c r="T150" i="5"/>
  <c r="N129" i="5"/>
  <c r="M129" i="5"/>
  <c r="L129" i="5"/>
  <c r="K129" i="5"/>
  <c r="J129" i="5"/>
  <c r="I129" i="5"/>
  <c r="H129" i="5"/>
  <c r="G129" i="5"/>
  <c r="F129" i="5"/>
  <c r="E129" i="5"/>
  <c r="D129" i="5"/>
  <c r="C129" i="5"/>
  <c r="B129" i="5"/>
  <c r="S110" i="5"/>
  <c r="R110" i="5"/>
  <c r="O110" i="5"/>
  <c r="M110" i="5"/>
  <c r="L110" i="5"/>
  <c r="K110" i="5"/>
  <c r="J110" i="5"/>
  <c r="I110" i="5"/>
  <c r="H110" i="5"/>
  <c r="G110" i="5"/>
  <c r="F110" i="5"/>
  <c r="D110" i="5"/>
  <c r="D68" i="5" s="1"/>
  <c r="C110" i="5"/>
  <c r="N86" i="5"/>
  <c r="M86" i="5"/>
  <c r="K71" i="5"/>
  <c r="K85" i="5" s="1"/>
  <c r="G85" i="5"/>
  <c r="C85" i="5"/>
  <c r="N83" i="5"/>
  <c r="N82" i="5"/>
  <c r="E71" i="5"/>
  <c r="N80" i="5"/>
  <c r="N79" i="5"/>
  <c r="N78" i="5"/>
  <c r="I71" i="5"/>
  <c r="I78" i="5" s="1"/>
  <c r="N77" i="5"/>
  <c r="N76" i="5"/>
  <c r="N75" i="5"/>
  <c r="K75" i="5"/>
  <c r="E74" i="5"/>
  <c r="C73" i="5"/>
  <c r="N73" i="5" s="1"/>
  <c r="D32" i="5" s="1"/>
  <c r="H32" i="5" s="1"/>
  <c r="N72" i="5"/>
  <c r="K86" i="5"/>
  <c r="J71" i="5"/>
  <c r="J79" i="5"/>
  <c r="H71" i="5"/>
  <c r="G86" i="5"/>
  <c r="D71" i="5"/>
  <c r="C86" i="5"/>
  <c r="K54" i="5"/>
  <c r="K68" i="5"/>
  <c r="J54" i="5"/>
  <c r="J68" i="5"/>
  <c r="G54" i="5"/>
  <c r="G68" i="5"/>
  <c r="D67" i="5"/>
  <c r="N66" i="5"/>
  <c r="K66" i="5"/>
  <c r="N65" i="5"/>
  <c r="K65" i="5"/>
  <c r="J64" i="5"/>
  <c r="N63" i="5"/>
  <c r="K63" i="5"/>
  <c r="N62" i="5"/>
  <c r="K62" i="5"/>
  <c r="J62" i="5"/>
  <c r="N61" i="5"/>
  <c r="K61" i="5"/>
  <c r="J61" i="5"/>
  <c r="N60" i="5"/>
  <c r="J60" i="5"/>
  <c r="H54" i="5"/>
  <c r="H60" i="5"/>
  <c r="N59" i="5"/>
  <c r="K59" i="5"/>
  <c r="H59" i="5"/>
  <c r="N58" i="5"/>
  <c r="K58" i="5"/>
  <c r="J58" i="5"/>
  <c r="D57" i="5"/>
  <c r="N55" i="5"/>
  <c r="K67" i="5"/>
  <c r="I54" i="5"/>
  <c r="H61" i="5"/>
  <c r="G67" i="5"/>
  <c r="E54" i="5"/>
  <c r="E67" i="5" s="1"/>
  <c r="C67" i="5"/>
  <c r="N41" i="5"/>
  <c r="U25" i="5"/>
  <c r="V25" i="5" s="1"/>
  <c r="M41" i="5"/>
  <c r="M43" i="5" s="1"/>
  <c r="L41" i="5"/>
  <c r="U23" i="5" s="1"/>
  <c r="V23" i="5" s="1"/>
  <c r="K41" i="5"/>
  <c r="K43" i="5" s="1"/>
  <c r="J41" i="5"/>
  <c r="U21" i="5" s="1"/>
  <c r="V21" i="5" s="1"/>
  <c r="I41" i="5"/>
  <c r="U20" i="5"/>
  <c r="V20" i="5" s="1"/>
  <c r="H41" i="5"/>
  <c r="H43" i="5" s="1"/>
  <c r="G41" i="5"/>
  <c r="G43" i="5" s="1"/>
  <c r="F41" i="5"/>
  <c r="F43" i="5" s="1"/>
  <c r="E41" i="5"/>
  <c r="U16" i="5" s="1"/>
  <c r="V16" i="5" s="1"/>
  <c r="D41" i="5"/>
  <c r="D43" i="5"/>
  <c r="C41" i="5"/>
  <c r="C43" i="5"/>
  <c r="B41" i="5"/>
  <c r="U13" i="5" s="1"/>
  <c r="V13" i="5" s="1"/>
  <c r="B43" i="5"/>
  <c r="T25" i="5"/>
  <c r="S25" i="5"/>
  <c r="J25" i="5"/>
  <c r="I25" i="5"/>
  <c r="H25" i="5"/>
  <c r="G25" i="5"/>
  <c r="F25" i="5"/>
  <c r="E25" i="5"/>
  <c r="D25" i="5"/>
  <c r="C25" i="5"/>
  <c r="N25" i="5" s="1"/>
  <c r="B25" i="5"/>
  <c r="T24" i="5"/>
  <c r="S24" i="5"/>
  <c r="K73" i="5"/>
  <c r="I73" i="5"/>
  <c r="F73" i="5"/>
  <c r="D73" i="5"/>
  <c r="T23" i="5"/>
  <c r="S23" i="5"/>
  <c r="T22" i="5"/>
  <c r="S22" i="5"/>
  <c r="T21" i="5"/>
  <c r="S21" i="5"/>
  <c r="T20" i="5"/>
  <c r="S20" i="5"/>
  <c r="T19" i="5"/>
  <c r="S19" i="5"/>
  <c r="T18" i="5"/>
  <c r="S18" i="5"/>
  <c r="T17" i="5"/>
  <c r="S17" i="5"/>
  <c r="T16" i="5"/>
  <c r="S16" i="5"/>
  <c r="T15" i="5"/>
  <c r="S15" i="5"/>
  <c r="T14" i="5"/>
  <c r="S14" i="5"/>
  <c r="T13" i="5"/>
  <c r="S13" i="5"/>
  <c r="W10" i="5"/>
  <c r="J7" i="5"/>
  <c r="AB177" i="5" s="1"/>
  <c r="I7" i="5"/>
  <c r="AA177" i="5" s="1"/>
  <c r="H7" i="5"/>
  <c r="Z177" i="5" s="1"/>
  <c r="G7" i="5"/>
  <c r="Y177" i="5" s="1"/>
  <c r="F7" i="5"/>
  <c r="X177" i="5" s="1"/>
  <c r="E7" i="5"/>
  <c r="W177" i="5" s="1"/>
  <c r="D7" i="5"/>
  <c r="V177" i="5" s="1"/>
  <c r="C7" i="5"/>
  <c r="U177" i="5" s="1"/>
  <c r="B7" i="5"/>
  <c r="N7" i="5" s="1"/>
  <c r="I56" i="5"/>
  <c r="H56" i="5"/>
  <c r="E56" i="5"/>
  <c r="D56" i="5"/>
  <c r="W5" i="5"/>
  <c r="U15" i="5"/>
  <c r="V15" i="5"/>
  <c r="U17" i="5"/>
  <c r="V17" i="5" s="1"/>
  <c r="I68" i="5"/>
  <c r="I65" i="5"/>
  <c r="I62" i="5"/>
  <c r="I58" i="5"/>
  <c r="I57" i="5"/>
  <c r="I66" i="5"/>
  <c r="D85" i="5"/>
  <c r="D86" i="5"/>
  <c r="D84" i="5"/>
  <c r="H78" i="5"/>
  <c r="H85" i="5"/>
  <c r="H82" i="5"/>
  <c r="H79" i="5"/>
  <c r="H86" i="5"/>
  <c r="H84" i="5"/>
  <c r="H75" i="5"/>
  <c r="I43" i="5"/>
  <c r="N43" i="5"/>
  <c r="J66" i="5"/>
  <c r="J63" i="5"/>
  <c r="J59" i="5"/>
  <c r="E57" i="5"/>
  <c r="J57" i="5"/>
  <c r="I59" i="5"/>
  <c r="I60" i="5"/>
  <c r="I61" i="5"/>
  <c r="H62" i="5"/>
  <c r="J67" i="5"/>
  <c r="E85" i="5"/>
  <c r="I75" i="5"/>
  <c r="D74" i="5"/>
  <c r="I74" i="5"/>
  <c r="J75" i="5"/>
  <c r="H76" i="5"/>
  <c r="H77" i="5"/>
  <c r="H81" i="5"/>
  <c r="H83" i="5"/>
  <c r="E84" i="5"/>
  <c r="I67" i="5"/>
  <c r="H74" i="5"/>
  <c r="E43" i="5"/>
  <c r="H63" i="5"/>
  <c r="H64" i="5"/>
  <c r="H65" i="5"/>
  <c r="F67" i="5"/>
  <c r="F84" i="5"/>
  <c r="J83" i="5"/>
  <c r="J80" i="5"/>
  <c r="J76" i="5"/>
  <c r="J86" i="5"/>
  <c r="J84" i="5"/>
  <c r="J81" i="5"/>
  <c r="J85" i="5"/>
  <c r="J74" i="5"/>
  <c r="E86" i="5"/>
  <c r="U14" i="5"/>
  <c r="V14" i="5" s="1"/>
  <c r="U18" i="5"/>
  <c r="V18" i="5" s="1"/>
  <c r="H57" i="5"/>
  <c r="H58" i="5"/>
  <c r="I63" i="5"/>
  <c r="I64" i="5"/>
  <c r="J65" i="5"/>
  <c r="H66" i="5"/>
  <c r="H67" i="5"/>
  <c r="H68" i="5"/>
  <c r="F74" i="5"/>
  <c r="J77" i="5"/>
  <c r="J78" i="5"/>
  <c r="H80" i="5"/>
  <c r="J82" i="5"/>
  <c r="C167" i="5"/>
  <c r="U167" i="5" s="1"/>
  <c r="G167" i="5"/>
  <c r="Y167" i="5" s="1"/>
  <c r="C57" i="5"/>
  <c r="G57" i="5"/>
  <c r="K57" i="5"/>
  <c r="K60" i="5"/>
  <c r="K64" i="5"/>
  <c r="C74" i="5"/>
  <c r="G74" i="5"/>
  <c r="K77" i="5"/>
  <c r="C84" i="5"/>
  <c r="G84" i="5"/>
  <c r="K84" i="5"/>
  <c r="U239" i="6"/>
  <c r="G82" i="5" l="1"/>
  <c r="K74" i="5"/>
  <c r="L74" i="5" s="1"/>
  <c r="AA150" i="5"/>
  <c r="I84" i="5"/>
  <c r="L84" i="5" s="1"/>
  <c r="F86" i="5"/>
  <c r="E68" i="5"/>
  <c r="I79" i="5"/>
  <c r="F68" i="5"/>
  <c r="J43" i="5"/>
  <c r="T177" i="5"/>
  <c r="L43" i="5"/>
  <c r="I77" i="5"/>
  <c r="K78" i="5"/>
  <c r="K80" i="5"/>
  <c r="K82" i="5"/>
  <c r="X150" i="5"/>
  <c r="F83" i="5"/>
  <c r="F82" i="5"/>
  <c r="E82" i="5"/>
  <c r="F64" i="5"/>
  <c r="E63" i="5"/>
  <c r="D63" i="5"/>
  <c r="C62" i="5"/>
  <c r="F77" i="5"/>
  <c r="E77" i="5"/>
  <c r="F59" i="5"/>
  <c r="D76" i="5"/>
  <c r="W150" i="5"/>
  <c r="U22" i="5"/>
  <c r="V22" i="5" s="1"/>
  <c r="I81" i="5"/>
  <c r="I80" i="5"/>
  <c r="I82" i="5"/>
  <c r="I76" i="5"/>
  <c r="F75" i="5"/>
  <c r="C66" i="5"/>
  <c r="C65" i="5"/>
  <c r="C63" i="5"/>
  <c r="F62" i="5"/>
  <c r="E61" i="5"/>
  <c r="F60" i="5"/>
  <c r="K81" i="5"/>
  <c r="I86" i="5"/>
  <c r="I83" i="5"/>
  <c r="I85" i="5"/>
  <c r="L85" i="5" s="1"/>
  <c r="M35" i="5" s="1"/>
  <c r="U19" i="5"/>
  <c r="V19" i="5" s="1"/>
  <c r="U24" i="5"/>
  <c r="V24" i="5" s="1"/>
  <c r="K76" i="5"/>
  <c r="K79" i="5"/>
  <c r="K83" i="5"/>
  <c r="C58" i="5"/>
  <c r="F66" i="5"/>
  <c r="F65" i="5"/>
  <c r="E64" i="5"/>
  <c r="D64" i="5"/>
  <c r="F63" i="5"/>
  <c r="C61" i="5"/>
  <c r="G59" i="5"/>
  <c r="F76" i="5"/>
  <c r="C60" i="5"/>
  <c r="D65" i="5"/>
  <c r="E75" i="5"/>
  <c r="C59" i="5"/>
  <c r="F81" i="5"/>
  <c r="E65" i="5"/>
  <c r="E80" i="5"/>
  <c r="F78" i="5"/>
  <c r="C64" i="5"/>
  <c r="F80" i="5"/>
  <c r="E79" i="5"/>
  <c r="D60" i="5"/>
  <c r="D78" i="5"/>
  <c r="E58" i="5"/>
  <c r="G66" i="5"/>
  <c r="L57" i="5"/>
  <c r="D83" i="5"/>
  <c r="E60" i="5"/>
  <c r="G61" i="5"/>
  <c r="G64" i="5"/>
  <c r="D59" i="5"/>
  <c r="E59" i="5"/>
  <c r="E66" i="5"/>
  <c r="L67" i="5"/>
  <c r="M17" i="5" s="1"/>
  <c r="G76" i="5"/>
  <c r="E81" i="5"/>
  <c r="G77" i="5"/>
  <c r="D79" i="5"/>
  <c r="E78" i="5"/>
  <c r="D80" i="5"/>
  <c r="D75" i="5"/>
  <c r="F79" i="5"/>
  <c r="E83" i="5"/>
  <c r="D82" i="5"/>
  <c r="G58" i="5"/>
  <c r="G62" i="5"/>
  <c r="G63" i="5"/>
  <c r="L77" i="5" l="1"/>
  <c r="D35" i="5" s="1"/>
  <c r="L86" i="5"/>
  <c r="N35" i="5" s="1"/>
  <c r="L68" i="5"/>
  <c r="N17" i="5" s="1"/>
  <c r="L61" i="5"/>
  <c r="E17" i="5" s="1"/>
  <c r="L60" i="5"/>
  <c r="D17" i="5" s="1"/>
  <c r="L65" i="5"/>
  <c r="H17" i="5" s="1"/>
  <c r="L82" i="5"/>
  <c r="H35" i="5" s="1"/>
  <c r="L81" i="5"/>
  <c r="J35" i="5" s="1"/>
  <c r="L63" i="5"/>
  <c r="G17" i="5" s="1"/>
  <c r="L62" i="5"/>
  <c r="F17" i="5" s="1"/>
  <c r="L76" i="5"/>
  <c r="C35" i="5" s="1"/>
  <c r="L58" i="5"/>
  <c r="B17" i="5" s="1"/>
  <c r="L75" i="5"/>
  <c r="B35" i="5" s="1"/>
  <c r="L80" i="5"/>
  <c r="G35" i="5" s="1"/>
  <c r="L79" i="5"/>
  <c r="F35" i="5" s="1"/>
  <c r="L66" i="5"/>
  <c r="I17" i="5" s="1"/>
  <c r="L78" i="5"/>
  <c r="E35" i="5" s="1"/>
  <c r="L64" i="5"/>
  <c r="J17" i="5" s="1"/>
  <c r="L83" i="5"/>
  <c r="I35" i="5" s="1"/>
  <c r="L59" i="5"/>
  <c r="C17" i="5" s="1"/>
  <c r="P37" i="5" l="1"/>
  <c r="P33" i="5"/>
  <c r="S236" i="6" l="1"/>
  <c r="J20" i="1"/>
  <c r="W235" i="6" s="1"/>
  <c r="D20" i="1"/>
  <c r="Q235" i="6" s="1"/>
  <c r="U236" i="6"/>
  <c r="E20" i="1"/>
  <c r="R235" i="6" s="1"/>
  <c r="I20" i="1"/>
  <c r="V235" i="6" s="1"/>
  <c r="P236" i="6"/>
  <c r="F20" i="1"/>
  <c r="S235" i="6" s="1"/>
  <c r="Q236" i="6"/>
  <c r="G20" i="1"/>
  <c r="T235" i="6" s="1"/>
  <c r="H20" i="1"/>
  <c r="U235" i="6" s="1"/>
  <c r="T236" i="6"/>
  <c r="W236" i="6"/>
  <c r="V236" i="6"/>
  <c r="C20" i="1"/>
  <c r="P235" i="6" s="1"/>
  <c r="AA236" i="6" l="1"/>
  <c r="R23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tc={D7C4EA34-E457-406D-A463-92FFB85F7A05}</author>
    <author>tc={2F3A843E-5334-4770-99B6-2972DADCD88C}</author>
    <author>Kwadjo Ahodo</author>
  </authors>
  <commentList>
    <comment ref="B3" authorId="0" shapeId="0" xr:uid="{D7C4EA34-E457-406D-A463-92FFB85F7A0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Users can type in fertilizer inputs in the yellow cells and the corresponding prices below OR users can use the Add Input Form through the "Click To Add Inputs" button</t>
      </text>
    </comment>
    <comment ref="B9" authorId="1" shapeId="0" xr:uid="{2F3A843E-5334-4770-99B6-2972DADCD88C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the blend nutrients in the yellow cells</t>
      </text>
    </comment>
    <comment ref="D107" authorId="2" shapeId="0" xr:uid="{E336845D-9ECE-4A39-8743-15768B28EF7C}">
      <text>
        <r>
          <rPr>
            <b/>
            <sz val="9"/>
            <color indexed="81"/>
            <rFont val="Tahoma"/>
            <family val="2"/>
          </rPr>
          <t>Kwadjo Ahodo:</t>
        </r>
        <r>
          <rPr>
            <sz val="9"/>
            <color indexed="81"/>
            <rFont val="Tahoma"/>
            <family val="2"/>
          </rPr>
          <t xml:space="preserve">
Need to check this. The original percentage is 20 but changed it to 18 based on proportion sent  by Habib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Kwadjo Ahodo</author>
  </authors>
  <commentList>
    <comment ref="M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Kwadjo Ahodo:</t>
        </r>
        <r>
          <rPr>
            <sz val="9"/>
            <color indexed="81"/>
            <rFont val="Tahoma"/>
            <family val="2"/>
          </rPr>
          <t xml:space="preserve">
Enter Fertilizer Prices</t>
        </r>
      </text>
    </comment>
    <comment ref="B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Kwadjo Ahodo:</t>
        </r>
        <r>
          <rPr>
            <sz val="9"/>
            <color indexed="81"/>
            <rFont val="Tahoma"/>
            <family val="2"/>
          </rPr>
          <t xml:space="preserve">
Enter The Blend Ratio</t>
        </r>
      </text>
    </comment>
    <comment ref="B1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Kwadjo Ahodo:</t>
        </r>
        <r>
          <rPr>
            <sz val="9"/>
            <color indexed="81"/>
            <rFont val="Tahoma"/>
            <family val="2"/>
          </rPr>
          <t xml:space="preserve">
Enter The Blend Ratio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Kwadjo Ahodo</author>
  </authors>
  <commentList>
    <comment ref="U22" authorId="0" shapeId="0" xr:uid="{36838C33-860F-4672-8454-EBE3FE0C2A22}">
      <text>
        <r>
          <rPr>
            <b/>
            <sz val="8"/>
            <color indexed="81"/>
            <rFont val="Century Gothic"/>
            <family val="2"/>
          </rPr>
          <t>Kwadjo Ahodo:</t>
        </r>
        <r>
          <rPr>
            <sz val="8"/>
            <color indexed="81"/>
            <rFont val="Century Gothic"/>
            <family val="2"/>
          </rPr>
          <t xml:space="preserve">
Use this cell ONLY to set the </t>
        </r>
        <r>
          <rPr>
            <b/>
            <sz val="8"/>
            <color indexed="81"/>
            <rFont val="Century Gothic"/>
            <family val="2"/>
          </rPr>
          <t>Chloride</t>
        </r>
        <r>
          <rPr>
            <sz val="8"/>
            <color indexed="81"/>
            <rFont val="Century Gothic"/>
            <family val="2"/>
          </rPr>
          <t xml:space="preserve"> level.
For S and MgO, set their respective values on </t>
        </r>
        <r>
          <rPr>
            <b/>
            <sz val="8"/>
            <color indexed="81"/>
            <rFont val="Century Gothic"/>
            <family val="2"/>
          </rPr>
          <t>Cells F22</t>
        </r>
        <r>
          <rPr>
            <sz val="8"/>
            <color indexed="81"/>
            <rFont val="Century Gothic"/>
            <family val="2"/>
          </rPr>
          <t xml:space="preserve"> and </t>
        </r>
        <r>
          <rPr>
            <b/>
            <sz val="8"/>
            <color indexed="81"/>
            <rFont val="Century Gothic"/>
            <family val="2"/>
          </rPr>
          <t>G22</t>
        </r>
        <r>
          <rPr>
            <sz val="8"/>
            <color indexed="81"/>
            <rFont val="Century Gothic"/>
            <family val="2"/>
          </rPr>
          <t xml:space="preserve">.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Kwadjo Ahodo</author>
  </authors>
  <commentList>
    <comment ref="F3" authorId="0" shapeId="0" xr:uid="{4EF0EDCB-B28B-4CF4-951E-025BCE38541A}">
      <text>
        <r>
          <rPr>
            <b/>
            <sz val="9"/>
            <color indexed="81"/>
            <rFont val="Tahoma"/>
            <family val="2"/>
          </rPr>
          <t>Kwadjo Ahodo:</t>
        </r>
        <r>
          <rPr>
            <sz val="9"/>
            <color indexed="81"/>
            <rFont val="Tahoma"/>
            <family val="2"/>
          </rPr>
          <t xml:space="preserve">
Enter Blend name or composition here. E.g.
15-15-15+3.4S (Max Cl=3.4)</t>
        </r>
      </text>
    </comment>
    <comment ref="Q3" authorId="0" shapeId="0" xr:uid="{843BD345-3347-4AB9-97B4-C3F478ED9622}">
      <text>
        <r>
          <rPr>
            <b/>
            <sz val="9"/>
            <color indexed="81"/>
            <rFont val="Tahoma"/>
            <family val="2"/>
          </rPr>
          <t>Kwadjo Ahodo:</t>
        </r>
        <r>
          <rPr>
            <sz val="9"/>
            <color indexed="81"/>
            <rFont val="Tahoma"/>
            <family val="2"/>
          </rPr>
          <t xml:space="preserve">
Enter Fertilizer Prices</t>
        </r>
      </text>
    </comment>
    <comment ref="B9" authorId="0" shapeId="0" xr:uid="{4EF7D1F4-5397-40C0-8CE7-E3A65B3B0FF5}">
      <text>
        <r>
          <rPr>
            <b/>
            <sz val="9"/>
            <color indexed="81"/>
            <rFont val="Tahoma"/>
            <family val="2"/>
          </rPr>
          <t>Kwadjo Ahodo:</t>
        </r>
        <r>
          <rPr>
            <sz val="9"/>
            <color indexed="81"/>
            <rFont val="Tahoma"/>
            <family val="2"/>
          </rPr>
          <t xml:space="preserve">
Enter The Blend Ratio</t>
        </r>
      </text>
    </comment>
    <comment ref="F21" authorId="0" shapeId="0" xr:uid="{CC6B0733-D399-4116-985E-D5FF8BDAC539}">
      <text>
        <r>
          <rPr>
            <b/>
            <sz val="9"/>
            <color indexed="81"/>
            <rFont val="Tahoma"/>
            <family val="2"/>
          </rPr>
          <t>Kwadjo Ahodo:</t>
        </r>
        <r>
          <rPr>
            <sz val="9"/>
            <color indexed="81"/>
            <rFont val="Tahoma"/>
            <family val="2"/>
          </rPr>
          <t xml:space="preserve">
Enter Blend name or composition here. E.g.
15-15-15+3.4S (Max Cl=3.4)</t>
        </r>
      </text>
    </comment>
    <comment ref="B27" authorId="0" shapeId="0" xr:uid="{5DFA8B47-CE84-409B-9878-994FB0823E3A}">
      <text>
        <r>
          <rPr>
            <b/>
            <sz val="9"/>
            <color indexed="81"/>
            <rFont val="Tahoma"/>
            <family val="2"/>
          </rPr>
          <t>Kwadjo Ahodo:</t>
        </r>
        <r>
          <rPr>
            <sz val="9"/>
            <color indexed="81"/>
            <rFont val="Tahoma"/>
            <family val="2"/>
          </rPr>
          <t xml:space="preserve">
Enter The Blend Ratio</t>
        </r>
      </text>
    </comment>
    <comment ref="S99" authorId="0" shapeId="0" xr:uid="{CB44E108-A030-4E95-844C-84BCBE9C77D3}">
      <text>
        <r>
          <rPr>
            <b/>
            <sz val="9"/>
            <color indexed="81"/>
            <rFont val="Tahoma"/>
            <family val="2"/>
          </rPr>
          <t>Kwadjo Ahodo:</t>
        </r>
        <r>
          <rPr>
            <sz val="9"/>
            <color indexed="81"/>
            <rFont val="Tahoma"/>
            <family val="2"/>
          </rPr>
          <t xml:space="preserve">
Need to check this. The original percentage is 20 but changed it to 18 based on proportion sent  by Habib</t>
        </r>
      </text>
    </comment>
  </commentList>
</comments>
</file>

<file path=xl/sharedStrings.xml><?xml version="1.0" encoding="utf-8"?>
<sst xmlns="http://schemas.openxmlformats.org/spreadsheetml/2006/main" count="1501" uniqueCount="243">
  <si>
    <t xml:space="preserve">Input 1 </t>
  </si>
  <si>
    <t>Input 2</t>
  </si>
  <si>
    <t>Input 3</t>
  </si>
  <si>
    <t>Input 4</t>
  </si>
  <si>
    <t>Input 5</t>
  </si>
  <si>
    <t>Input 6</t>
  </si>
  <si>
    <t>Input 7</t>
  </si>
  <si>
    <t>Input 8</t>
  </si>
  <si>
    <t>Input 9</t>
  </si>
  <si>
    <t>POLY4</t>
  </si>
  <si>
    <t>Standard Blend Cost</t>
  </si>
  <si>
    <t>MgO</t>
  </si>
  <si>
    <t>CaO</t>
  </si>
  <si>
    <t>Cl</t>
  </si>
  <si>
    <t>B</t>
  </si>
  <si>
    <t>N</t>
    <phoneticPr fontId="0" type="noConversion"/>
  </si>
  <si>
    <t>S</t>
    <phoneticPr fontId="0" type="noConversion"/>
  </si>
  <si>
    <t>DAP</t>
    <phoneticPr fontId="0" type="noConversion"/>
  </si>
  <si>
    <t>SOP-M</t>
  </si>
  <si>
    <t>MAP</t>
    <phoneticPr fontId="0" type="noConversion"/>
  </si>
  <si>
    <t>Urea</t>
    <phoneticPr fontId="0" type="noConversion"/>
  </si>
  <si>
    <t>AS</t>
  </si>
  <si>
    <t>AN</t>
  </si>
  <si>
    <t>CAN</t>
  </si>
  <si>
    <t>SOP</t>
    <phoneticPr fontId="0" type="noConversion"/>
  </si>
  <si>
    <t>MOP</t>
    <phoneticPr fontId="0" type="noConversion"/>
  </si>
  <si>
    <t>Gypsum</t>
  </si>
  <si>
    <t>Anhydrous Ammonia</t>
  </si>
  <si>
    <t>TSP</t>
  </si>
  <si>
    <t>Phosphate Rock</t>
  </si>
  <si>
    <t>K-Mag</t>
  </si>
  <si>
    <t xml:space="preserve">Kieserite </t>
  </si>
  <si>
    <t>SSP</t>
  </si>
  <si>
    <t>Ammonium Chloride</t>
  </si>
  <si>
    <t>KNO3</t>
  </si>
  <si>
    <t>Dolomite</t>
  </si>
  <si>
    <t>Limestone</t>
  </si>
  <si>
    <t>Boron</t>
  </si>
  <si>
    <t>Zn</t>
  </si>
  <si>
    <t>==</t>
  </si>
  <si>
    <t>&gt;=</t>
  </si>
  <si>
    <t>Filler</t>
  </si>
  <si>
    <t>MAP</t>
  </si>
  <si>
    <t>MOP</t>
  </si>
  <si>
    <t>POLY4 Incl.</t>
  </si>
  <si>
    <t>POLY4 Blend Cost</t>
  </si>
  <si>
    <t>COST &amp; NUTRIENTS</t>
  </si>
  <si>
    <t>Cost Difference</t>
  </si>
  <si>
    <t>POLY4 Price To Set Cost Difference to Zero</t>
  </si>
  <si>
    <t>POLY4 Price 1</t>
  </si>
  <si>
    <t>POLY4 Price 2</t>
  </si>
  <si>
    <t>POLY4 Price 3</t>
  </si>
  <si>
    <t>POLY4 Price 4</t>
  </si>
  <si>
    <t>POLY4 Price 5</t>
  </si>
  <si>
    <t>POLY4 Price 6</t>
  </si>
  <si>
    <t>POLY4 Price 7</t>
  </si>
  <si>
    <t>POLY4 Price 8</t>
  </si>
  <si>
    <t>POLY4 Price 9</t>
  </si>
  <si>
    <t>POLY4 Price 10</t>
  </si>
  <si>
    <t>POLY4 Price 11</t>
  </si>
  <si>
    <t>POLY4 Price 12</t>
  </si>
  <si>
    <t>POLY4 Price 13</t>
  </si>
  <si>
    <t>Blend Costs</t>
  </si>
  <si>
    <r>
      <t>P</t>
    </r>
    <r>
      <rPr>
        <b/>
        <vertAlign val="sub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>O</t>
    </r>
    <r>
      <rPr>
        <b/>
        <vertAlign val="subscript"/>
        <sz val="11"/>
        <rFont val="Calibri"/>
        <family val="2"/>
        <scheme val="minor"/>
      </rPr>
      <t>5</t>
    </r>
  </si>
  <si>
    <r>
      <t>K</t>
    </r>
    <r>
      <rPr>
        <b/>
        <vertAlign val="sub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>O</t>
    </r>
  </si>
  <si>
    <t>POLYHALITE BLEND COMPARISON TO STANDARD</t>
  </si>
  <si>
    <t>N</t>
    <phoneticPr fontId="0" type="noConversion"/>
  </si>
  <si>
    <r>
      <t>P</t>
    </r>
    <r>
      <rPr>
        <b/>
        <vertAlign val="sub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>O</t>
    </r>
    <r>
      <rPr>
        <b/>
        <vertAlign val="subscript"/>
        <sz val="10"/>
        <rFont val="Calibri"/>
        <family val="2"/>
        <scheme val="minor"/>
      </rPr>
      <t>5</t>
    </r>
  </si>
  <si>
    <r>
      <t>K</t>
    </r>
    <r>
      <rPr>
        <b/>
        <vertAlign val="sub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>O</t>
    </r>
  </si>
  <si>
    <t>POLY4 Inclusion</t>
  </si>
  <si>
    <t>POLY4 Prices</t>
  </si>
  <si>
    <t>SOP</t>
  </si>
  <si>
    <t>Fertilizer Type</t>
  </si>
  <si>
    <t>Price</t>
  </si>
  <si>
    <t xml:space="preserve">Key </t>
  </si>
  <si>
    <t>Enter Value</t>
  </si>
  <si>
    <t>Cost Differences</t>
  </si>
  <si>
    <t>Fertilizer Product</t>
  </si>
  <si>
    <t>DAP</t>
  </si>
  <si>
    <t>Urea</t>
  </si>
  <si>
    <t>N</t>
  </si>
  <si>
    <t>P2O5</t>
  </si>
  <si>
    <t>K2O</t>
  </si>
  <si>
    <t>S</t>
  </si>
  <si>
    <t>POLY4 Price</t>
  </si>
  <si>
    <t>Inclusion</t>
  </si>
  <si>
    <t>Blend Cost</t>
  </si>
  <si>
    <t>Standard Blend</t>
  </si>
  <si>
    <t>POLY4 Blends Under Different POLY4 Prices</t>
  </si>
  <si>
    <r>
      <t>P</t>
    </r>
    <r>
      <rPr>
        <b/>
        <vertAlign val="subscript"/>
        <sz val="11"/>
        <color rgb="FF0000FF"/>
        <rFont val="Calibri"/>
        <family val="2"/>
        <scheme val="minor"/>
      </rPr>
      <t>2</t>
    </r>
    <r>
      <rPr>
        <b/>
        <sz val="11"/>
        <color rgb="FF0000FF"/>
        <rFont val="Calibri"/>
        <family val="2"/>
        <scheme val="minor"/>
      </rPr>
      <t>O</t>
    </r>
    <r>
      <rPr>
        <b/>
        <vertAlign val="subscript"/>
        <sz val="11"/>
        <color rgb="FF0000FF"/>
        <rFont val="Calibri"/>
        <family val="2"/>
        <scheme val="minor"/>
      </rPr>
      <t>5</t>
    </r>
  </si>
  <si>
    <r>
      <t>K</t>
    </r>
    <r>
      <rPr>
        <b/>
        <vertAlign val="subscript"/>
        <sz val="11"/>
        <color rgb="FF0000FF"/>
        <rFont val="Calibri"/>
        <family val="2"/>
        <scheme val="minor"/>
      </rPr>
      <t>2</t>
    </r>
    <r>
      <rPr>
        <b/>
        <sz val="11"/>
        <color rgb="FF0000FF"/>
        <rFont val="Calibri"/>
        <family val="2"/>
        <scheme val="minor"/>
      </rPr>
      <t>O</t>
    </r>
  </si>
  <si>
    <t>Initial Price</t>
  </si>
  <si>
    <t>DETERMINATION OF POLY4 PRICE UNDER DIFFERENT INCLUSION RATES</t>
  </si>
  <si>
    <t xml:space="preserve"> INCLUSION RATES &amp; BLEND COSTS UNDER DIFFERENT POLY4 PRICES</t>
  </si>
  <si>
    <t>Total</t>
  </si>
  <si>
    <t>Chloride Reduction</t>
  </si>
  <si>
    <t>Equal To</t>
  </si>
  <si>
    <t>POLY4 Decision</t>
  </si>
  <si>
    <t xml:space="preserve"> Chloride Level</t>
  </si>
  <si>
    <t>STANDARD BLEND:</t>
  </si>
  <si>
    <t>POLYHALITE INCLUSIVE BLEND:</t>
  </si>
  <si>
    <t>Salt Index</t>
  </si>
  <si>
    <t>Blend Total</t>
  </si>
  <si>
    <t>Model Developed by: Dr Kwadjo Ahodo        Date: 05-04-2018</t>
  </si>
  <si>
    <t>CO2 Emission (kg CO2/t Fertilizer)</t>
  </si>
  <si>
    <t>Borate</t>
  </si>
  <si>
    <t>CO2e</t>
  </si>
  <si>
    <r>
      <t>CO</t>
    </r>
    <r>
      <rPr>
        <b/>
        <vertAlign val="subscript"/>
        <sz val="10"/>
        <color rgb="FF0000FF"/>
        <rFont val="Calibri"/>
        <family val="2"/>
      </rPr>
      <t>2</t>
    </r>
    <r>
      <rPr>
        <b/>
        <sz val="10"/>
        <color rgb="FF0000FF"/>
        <rFont val="Calibri"/>
        <family val="2"/>
        <scheme val="minor"/>
      </rPr>
      <t>e (kg/ha)</t>
    </r>
  </si>
  <si>
    <r>
      <t>CO</t>
    </r>
    <r>
      <rPr>
        <b/>
        <vertAlign val="subscript"/>
        <sz val="10"/>
        <color rgb="FF0000FF"/>
        <rFont val="Calibri"/>
        <family val="2"/>
      </rPr>
      <t>2</t>
    </r>
    <r>
      <rPr>
        <b/>
        <sz val="10"/>
        <color rgb="FF0000FF"/>
        <rFont val="Calibri"/>
        <family val="2"/>
        <scheme val="minor"/>
      </rPr>
      <t xml:space="preserve">e </t>
    </r>
  </si>
  <si>
    <t xml:space="preserve">CO2e </t>
  </si>
  <si>
    <t>Nutrient Loading</t>
  </si>
  <si>
    <t>INPUTS</t>
  </si>
  <si>
    <t>BLEND COSTS &amp; NUTRIENTS</t>
  </si>
  <si>
    <t>Greater Than</t>
  </si>
  <si>
    <t>Phosphoric Acid</t>
  </si>
  <si>
    <t>10-5-24</t>
  </si>
  <si>
    <t>ERP</t>
  </si>
  <si>
    <r>
      <t>P</t>
    </r>
    <r>
      <rPr>
        <b/>
        <vertAlign val="subscript"/>
        <sz val="10"/>
        <rFont val="Century Gothic"/>
        <family val="2"/>
      </rPr>
      <t>2</t>
    </r>
    <r>
      <rPr>
        <b/>
        <sz val="10"/>
        <rFont val="Century Gothic"/>
        <family val="2"/>
      </rPr>
      <t>O</t>
    </r>
    <r>
      <rPr>
        <b/>
        <vertAlign val="subscript"/>
        <sz val="10"/>
        <rFont val="Century Gothic"/>
        <family val="2"/>
      </rPr>
      <t>5</t>
    </r>
  </si>
  <si>
    <r>
      <t>K</t>
    </r>
    <r>
      <rPr>
        <b/>
        <vertAlign val="subscript"/>
        <sz val="10"/>
        <rFont val="Century Gothic"/>
        <family val="2"/>
      </rPr>
      <t>2</t>
    </r>
    <r>
      <rPr>
        <b/>
        <sz val="10"/>
        <rFont val="Century Gothic"/>
        <family val="2"/>
      </rPr>
      <t>O</t>
    </r>
  </si>
  <si>
    <r>
      <t>P</t>
    </r>
    <r>
      <rPr>
        <b/>
        <vertAlign val="subscript"/>
        <sz val="11"/>
        <rFont val="Century Gothic"/>
        <family val="2"/>
      </rPr>
      <t>2</t>
    </r>
    <r>
      <rPr>
        <b/>
        <sz val="11"/>
        <rFont val="Century Gothic"/>
        <family val="2"/>
      </rPr>
      <t>O</t>
    </r>
    <r>
      <rPr>
        <b/>
        <vertAlign val="subscript"/>
        <sz val="11"/>
        <rFont val="Century Gothic"/>
        <family val="2"/>
      </rPr>
      <t>5</t>
    </r>
  </si>
  <si>
    <r>
      <t>K</t>
    </r>
    <r>
      <rPr>
        <b/>
        <vertAlign val="subscript"/>
        <sz val="11"/>
        <rFont val="Century Gothic"/>
        <family val="2"/>
      </rPr>
      <t>2</t>
    </r>
    <r>
      <rPr>
        <b/>
        <sz val="11"/>
        <rFont val="Century Gothic"/>
        <family val="2"/>
      </rPr>
      <t>O</t>
    </r>
  </si>
  <si>
    <t>Anhyd. Ammonia</t>
  </si>
  <si>
    <t>NPK Blend Linear Programming Model</t>
  </si>
  <si>
    <t>Date: 27 March 2018</t>
  </si>
  <si>
    <t>NPK BLEND MODEL</t>
  </si>
  <si>
    <t>Fertilizer Input Options for Standard Blend</t>
  </si>
  <si>
    <t>Options</t>
  </si>
  <si>
    <t>N Sources</t>
  </si>
  <si>
    <r>
      <t>P</t>
    </r>
    <r>
      <rPr>
        <b/>
        <vertAlign val="subscript"/>
        <sz val="7.75"/>
        <color theme="1"/>
        <rFont val="Century Gothic"/>
        <family val="2"/>
      </rPr>
      <t>2</t>
    </r>
    <r>
      <rPr>
        <b/>
        <sz val="9"/>
        <color theme="1"/>
        <rFont val="Century Gothic"/>
        <family val="2"/>
      </rPr>
      <t>O</t>
    </r>
    <r>
      <rPr>
        <b/>
        <vertAlign val="subscript"/>
        <sz val="9"/>
        <color theme="1"/>
        <rFont val="Century Gothic"/>
        <family val="2"/>
      </rPr>
      <t>5</t>
    </r>
    <r>
      <rPr>
        <b/>
        <sz val="9"/>
        <color theme="1"/>
        <rFont val="Century Gothic"/>
        <family val="2"/>
      </rPr>
      <t xml:space="preserve"> Sources</t>
    </r>
  </si>
  <si>
    <r>
      <t>K</t>
    </r>
    <r>
      <rPr>
        <b/>
        <vertAlign val="subscript"/>
        <sz val="8.35"/>
        <color theme="1"/>
        <rFont val="Century Gothic"/>
        <family val="2"/>
      </rPr>
      <t>2</t>
    </r>
    <r>
      <rPr>
        <b/>
        <sz val="9"/>
        <color theme="1"/>
        <rFont val="Century Gothic"/>
        <family val="2"/>
      </rPr>
      <t>O Sources</t>
    </r>
  </si>
  <si>
    <t>S, MgO, CaO Sources</t>
  </si>
  <si>
    <t>Micronutrient Sources/Filler</t>
  </si>
  <si>
    <t>Option 1</t>
  </si>
  <si>
    <t>Option 2</t>
  </si>
  <si>
    <t>Option 3</t>
  </si>
  <si>
    <t>Fertilizer Input Options for POLY4 Inclusive Blend</t>
  </si>
  <si>
    <t>Micronutrient Sources</t>
  </si>
  <si>
    <t>Fertilizer Prices (US$/t)</t>
  </si>
  <si>
    <t>Phos. Rock</t>
  </si>
  <si>
    <t>Ammonia</t>
  </si>
  <si>
    <t>Kieserite</t>
  </si>
  <si>
    <t>Phos. Acid</t>
  </si>
  <si>
    <t>Amm. Chlo.</t>
  </si>
  <si>
    <r>
      <t>P</t>
    </r>
    <r>
      <rPr>
        <b/>
        <vertAlign val="subscript"/>
        <sz val="8.6"/>
        <color theme="1"/>
        <rFont val="Century Gothic"/>
        <family val="2"/>
      </rPr>
      <t>2</t>
    </r>
    <r>
      <rPr>
        <b/>
        <sz val="10"/>
        <color theme="1"/>
        <rFont val="Century Gothic"/>
        <family val="2"/>
      </rPr>
      <t>O</t>
    </r>
    <r>
      <rPr>
        <b/>
        <vertAlign val="subscript"/>
        <sz val="10"/>
        <color theme="1"/>
        <rFont val="Century Gothic"/>
        <family val="2"/>
      </rPr>
      <t>5</t>
    </r>
  </si>
  <si>
    <r>
      <t>K</t>
    </r>
    <r>
      <rPr>
        <b/>
        <vertAlign val="subscript"/>
        <sz val="8.6"/>
        <color theme="1"/>
        <rFont val="Century Gothic"/>
        <family val="2"/>
      </rPr>
      <t>2</t>
    </r>
    <r>
      <rPr>
        <b/>
        <sz val="10"/>
        <color theme="1"/>
        <rFont val="Century Gothic"/>
        <family val="2"/>
      </rPr>
      <t>O</t>
    </r>
  </si>
  <si>
    <t>Mn</t>
  </si>
  <si>
    <t>POLY4 Inclusion (%)</t>
  </si>
  <si>
    <t>Chloride Level</t>
  </si>
  <si>
    <t>POLY4 Inclusive Blend</t>
  </si>
  <si>
    <t>Input 10</t>
  </si>
  <si>
    <t>Total Input (%)</t>
  </si>
  <si>
    <t>Breakeven Price</t>
  </si>
  <si>
    <t>POLY4 Blend Option 1</t>
  </si>
  <si>
    <t>Blend Price ($/t)</t>
  </si>
  <si>
    <t xml:space="preserve">N </t>
  </si>
  <si>
    <r>
      <t>P</t>
    </r>
    <r>
      <rPr>
        <b/>
        <vertAlign val="subscript"/>
        <sz val="7.65"/>
        <color theme="1"/>
        <rFont val="Century Gothic"/>
        <family val="2"/>
      </rPr>
      <t>2</t>
    </r>
    <r>
      <rPr>
        <b/>
        <sz val="9"/>
        <color theme="1"/>
        <rFont val="Century Gothic"/>
        <family val="2"/>
      </rPr>
      <t>O</t>
    </r>
    <r>
      <rPr>
        <b/>
        <vertAlign val="subscript"/>
        <sz val="9"/>
        <color theme="1"/>
        <rFont val="Century Gothic"/>
        <family val="2"/>
      </rPr>
      <t>5</t>
    </r>
  </si>
  <si>
    <r>
      <t>K</t>
    </r>
    <r>
      <rPr>
        <b/>
        <vertAlign val="subscript"/>
        <sz val="7.65"/>
        <color theme="1"/>
        <rFont val="Century Gothic"/>
        <family val="2"/>
      </rPr>
      <t>2</t>
    </r>
    <r>
      <rPr>
        <b/>
        <sz val="9"/>
        <color theme="1"/>
        <rFont val="Century Gothic"/>
        <family val="2"/>
      </rPr>
      <t>O</t>
    </r>
  </si>
  <si>
    <t>POLY4 Blend Option 2</t>
  </si>
  <si>
    <t>POLY4 Blend Option 3</t>
  </si>
  <si>
    <t>Input1</t>
  </si>
  <si>
    <t>Input2</t>
  </si>
  <si>
    <t>Input3</t>
  </si>
  <si>
    <t>Input4</t>
  </si>
  <si>
    <t>Input5</t>
  </si>
  <si>
    <t>Input6</t>
  </si>
  <si>
    <t>Input7</t>
  </si>
  <si>
    <t>Input8</t>
  </si>
  <si>
    <t>Input9</t>
  </si>
  <si>
    <t>Input10</t>
  </si>
  <si>
    <t>Input11</t>
  </si>
  <si>
    <t>Input12</t>
  </si>
  <si>
    <t>Input13</t>
  </si>
  <si>
    <t>Input14</t>
  </si>
  <si>
    <t>Input15</t>
  </si>
  <si>
    <t>S,MgO,CaO</t>
  </si>
  <si>
    <t>Micro</t>
  </si>
  <si>
    <r>
      <t>KNO</t>
    </r>
    <r>
      <rPr>
        <vertAlign val="subscript"/>
        <sz val="7.75"/>
        <color theme="1"/>
        <rFont val="Century Gothic"/>
        <family val="2"/>
      </rPr>
      <t>3</t>
    </r>
  </si>
  <si>
    <t>Standard Blend Option 1</t>
  </si>
  <si>
    <t>Standard Blend Option 3</t>
  </si>
  <si>
    <t>Standard Blend Option 2</t>
  </si>
  <si>
    <r>
      <t>P</t>
    </r>
    <r>
      <rPr>
        <vertAlign val="subscript"/>
        <sz val="6"/>
        <rFont val="Century Gothic"/>
        <family val="2"/>
      </rPr>
      <t>2</t>
    </r>
    <r>
      <rPr>
        <sz val="6"/>
        <rFont val="Century Gothic"/>
        <family val="2"/>
      </rPr>
      <t>O</t>
    </r>
    <r>
      <rPr>
        <vertAlign val="subscript"/>
        <sz val="6"/>
        <rFont val="Century Gothic"/>
        <family val="2"/>
      </rPr>
      <t>5</t>
    </r>
  </si>
  <si>
    <r>
      <t>K</t>
    </r>
    <r>
      <rPr>
        <vertAlign val="subscript"/>
        <sz val="6"/>
        <rFont val="Century Gothic"/>
        <family val="2"/>
      </rPr>
      <t>2</t>
    </r>
    <r>
      <rPr>
        <sz val="6"/>
        <rFont val="Century Gothic"/>
        <family val="2"/>
      </rPr>
      <t>O</t>
    </r>
  </si>
  <si>
    <t>Korn-Kali</t>
  </si>
  <si>
    <t>Patent-Kali</t>
  </si>
  <si>
    <t>FERTILIZER COST MODEL</t>
  </si>
  <si>
    <t>Total Input (kg)</t>
  </si>
  <si>
    <t>(kg/ha)</t>
  </si>
  <si>
    <t>Cost (US$/ha)</t>
  </si>
  <si>
    <t>Standard Fertilizer Plan</t>
  </si>
  <si>
    <t>POLY4 Inclusive Fertilizer Plan</t>
  </si>
  <si>
    <t>Standard Plan Option 1</t>
  </si>
  <si>
    <t>Standard Plan Option 3</t>
  </si>
  <si>
    <t>POLY4 Plan Option 1</t>
  </si>
  <si>
    <t>POLY4 Plan Option 2</t>
  </si>
  <si>
    <t>POLY4 Plan Option 3</t>
  </si>
  <si>
    <t>Sreading Cost (US$/t)</t>
  </si>
  <si>
    <t>No Limit</t>
  </si>
  <si>
    <t xml:space="preserve">Nutrients </t>
  </si>
  <si>
    <t>Total Input (kg/ha)</t>
  </si>
  <si>
    <t>North America</t>
  </si>
  <si>
    <r>
      <t>P</t>
    </r>
    <r>
      <rPr>
        <vertAlign val="subscript"/>
        <sz val="8"/>
        <rFont val="Cambria"/>
        <family val="1"/>
      </rPr>
      <t>2</t>
    </r>
    <r>
      <rPr>
        <sz val="8"/>
        <rFont val="Cambria"/>
        <family val="1"/>
      </rPr>
      <t>O</t>
    </r>
    <r>
      <rPr>
        <vertAlign val="subscript"/>
        <sz val="8"/>
        <rFont val="Cambria"/>
        <family val="1"/>
      </rPr>
      <t>5</t>
    </r>
  </si>
  <si>
    <r>
      <t>K</t>
    </r>
    <r>
      <rPr>
        <vertAlign val="subscript"/>
        <sz val="8"/>
        <rFont val="Cambria"/>
        <family val="1"/>
      </rPr>
      <t>2</t>
    </r>
    <r>
      <rPr>
        <sz val="8"/>
        <rFont val="Cambria"/>
        <family val="1"/>
      </rPr>
      <t>O</t>
    </r>
  </si>
  <si>
    <t/>
  </si>
  <si>
    <t>BLEND NUTRIENT COMPOSITION</t>
  </si>
  <si>
    <t>NUTRIENT LEVEL LIMITS</t>
  </si>
  <si>
    <t>MODEL RESULTS</t>
  </si>
  <si>
    <t>Sulphur Level</t>
  </si>
  <si>
    <t>Magnesium Level</t>
  </si>
  <si>
    <t>Calcium Level</t>
  </si>
  <si>
    <t>Input 11</t>
  </si>
  <si>
    <t>Input 12</t>
  </si>
  <si>
    <t>BLEND COST/PRICE</t>
  </si>
  <si>
    <t>Estimated Blend Cost/Price (Per Tonne)</t>
  </si>
  <si>
    <t>SELECTED FERTILIZER INPUT PROPORTIONS (%)</t>
  </si>
  <si>
    <t xml:space="preserve"> NUTRIENTS ACHIEVED</t>
  </si>
  <si>
    <t xml:space="preserve"> NUTRIENTS ACHIEVED (%)</t>
  </si>
  <si>
    <r>
      <t>P</t>
    </r>
    <r>
      <rPr>
        <b/>
        <vertAlign val="subscript"/>
        <sz val="11"/>
        <rFont val="Miriam Fixed"/>
        <family val="3"/>
        <charset val="177"/>
      </rPr>
      <t>2</t>
    </r>
    <r>
      <rPr>
        <b/>
        <sz val="11"/>
        <rFont val="Miriam Fixed"/>
        <family val="3"/>
        <charset val="177"/>
      </rPr>
      <t>O</t>
    </r>
    <r>
      <rPr>
        <b/>
        <vertAlign val="subscript"/>
        <sz val="11"/>
        <rFont val="Miriam Fixed"/>
        <family val="3"/>
        <charset val="177"/>
      </rPr>
      <t>5</t>
    </r>
  </si>
  <si>
    <r>
      <t>K</t>
    </r>
    <r>
      <rPr>
        <b/>
        <vertAlign val="subscript"/>
        <sz val="11"/>
        <rFont val="Miriam Fixed"/>
        <family val="3"/>
        <charset val="177"/>
      </rPr>
      <t>2</t>
    </r>
    <r>
      <rPr>
        <b/>
        <sz val="11"/>
        <rFont val="Miriam Fixed"/>
        <family val="3"/>
        <charset val="177"/>
      </rPr>
      <t>O</t>
    </r>
  </si>
  <si>
    <t>BLEND INPUTS &amp; PRICES</t>
  </si>
  <si>
    <t>Amm. Chloride</t>
  </si>
  <si>
    <t>Patent Kali</t>
  </si>
  <si>
    <t>Model developed by: Kwadjo Ahodo, PhD</t>
  </si>
  <si>
    <t xml:space="preserve">Instruction for Users </t>
  </si>
  <si>
    <t>Activating Solver</t>
  </si>
  <si>
    <r>
      <t xml:space="preserve">    1. Click on the </t>
    </r>
    <r>
      <rPr>
        <b/>
        <sz val="9"/>
        <color theme="1"/>
        <rFont val="Century Gothic"/>
        <family val="2"/>
      </rPr>
      <t xml:space="preserve">Click To Add Inputs </t>
    </r>
    <r>
      <rPr>
        <sz val="9"/>
        <color theme="1"/>
        <rFont val="Century Gothic"/>
        <family val="2"/>
      </rPr>
      <t>button to open the Add Fertilizer Inputs form (see picture on the right)</t>
    </r>
  </si>
  <si>
    <r>
      <t xml:space="preserve">    3. Enter nutirent contenets of fertiliser types using the Click To Add Inputs button and </t>
    </r>
    <r>
      <rPr>
        <b/>
        <sz val="9"/>
        <color theme="1"/>
        <rFont val="Century Gothic"/>
        <family val="2"/>
      </rPr>
      <t>Add Fertilizer Inputs</t>
    </r>
    <r>
      <rPr>
        <sz val="9"/>
        <color theme="1"/>
        <rFont val="Century Gothic"/>
        <family val="2"/>
      </rPr>
      <t xml:space="preserve"> form on the right</t>
    </r>
  </si>
  <si>
    <r>
      <t xml:space="preserve">    4. Enter the blend nutrient composition of the blend (e.g. 15:15:15+5S+2MgO+10CaO) in </t>
    </r>
    <r>
      <rPr>
        <b/>
        <sz val="9"/>
        <color theme="1"/>
        <rFont val="Century Gothic"/>
        <family val="2"/>
      </rPr>
      <t>Cells B10 to I10</t>
    </r>
  </si>
  <si>
    <r>
      <t xml:space="preserve">    4. To put limitation on the sulphur, magnesium, calcium and chloride amounts, use </t>
    </r>
    <r>
      <rPr>
        <b/>
        <sz val="7.4"/>
        <color theme="1"/>
        <rFont val="Century Gothic"/>
        <family val="2"/>
      </rPr>
      <t>Cells C13</t>
    </r>
    <r>
      <rPr>
        <sz val="9"/>
        <color theme="1"/>
        <rFont val="Century Gothic"/>
        <family val="2"/>
      </rPr>
      <t xml:space="preserve">, </t>
    </r>
    <r>
      <rPr>
        <b/>
        <sz val="9"/>
        <color theme="1"/>
        <rFont val="Century Gothic"/>
        <family val="2"/>
      </rPr>
      <t>F13</t>
    </r>
    <r>
      <rPr>
        <sz val="9"/>
        <color theme="1"/>
        <rFont val="Century Gothic"/>
        <family val="2"/>
      </rPr>
      <t xml:space="preserve">, </t>
    </r>
    <r>
      <rPr>
        <b/>
        <sz val="9"/>
        <color theme="1"/>
        <rFont val="Century Gothic"/>
        <family val="2"/>
      </rPr>
      <t>I13</t>
    </r>
    <r>
      <rPr>
        <sz val="9"/>
        <color theme="1"/>
        <rFont val="Century Gothic"/>
        <family val="2"/>
      </rPr>
      <t xml:space="preserve"> and </t>
    </r>
    <r>
      <rPr>
        <b/>
        <sz val="9"/>
        <color theme="1"/>
        <rFont val="Century Gothic"/>
        <family val="2"/>
      </rPr>
      <t>L13 &amp; M13</t>
    </r>
    <r>
      <rPr>
        <sz val="9"/>
        <color theme="1"/>
        <rFont val="Century Gothic"/>
        <family val="2"/>
      </rPr>
      <t xml:space="preserve"> respectively</t>
    </r>
  </si>
  <si>
    <t>Notes:</t>
  </si>
  <si>
    <r>
      <t xml:space="preserve">    1. The </t>
    </r>
    <r>
      <rPr>
        <b/>
        <sz val="9"/>
        <color theme="1"/>
        <rFont val="Century Gothic"/>
        <family val="2"/>
      </rPr>
      <t>Reset Model</t>
    </r>
    <r>
      <rPr>
        <sz val="9"/>
        <color theme="1"/>
        <rFont val="Century Gothic"/>
        <family val="2"/>
      </rPr>
      <t xml:space="preserve"> button resets the model by deleing the generated results</t>
    </r>
  </si>
  <si>
    <r>
      <t xml:space="preserve">    2. The </t>
    </r>
    <r>
      <rPr>
        <b/>
        <sz val="9"/>
        <color theme="1"/>
        <rFont val="Century Gothic"/>
        <family val="2"/>
      </rPr>
      <t>Reset NPK Inputs</t>
    </r>
    <r>
      <rPr>
        <sz val="9"/>
        <color theme="1"/>
        <rFont val="Century Gothic"/>
        <family val="2"/>
      </rPr>
      <t xml:space="preserve"> button resets the model by deleing all added fertilizer inputs, prices and nutrient contents. </t>
    </r>
  </si>
  <si>
    <t>FERTILIZER INPUT PROPORTIONS (%)</t>
  </si>
  <si>
    <t xml:space="preserve">    2. Enter blend inputs (fertiliser types), their prices and nutrient content as demonstrated in the picture on the right </t>
  </si>
  <si>
    <r>
      <t xml:space="preserve">    2. Click on the View Code tab to open </t>
    </r>
    <r>
      <rPr>
        <b/>
        <sz val="9"/>
        <color theme="1"/>
        <rFont val="Century Gothic"/>
        <family val="2"/>
      </rPr>
      <t>Visual Basic for Applications</t>
    </r>
  </si>
  <si>
    <r>
      <t xml:space="preserve">    3. Click on the </t>
    </r>
    <r>
      <rPr>
        <b/>
        <sz val="7.4"/>
        <color theme="1"/>
        <rFont val="Century Gothic"/>
        <family val="2"/>
      </rPr>
      <t>Tools</t>
    </r>
    <r>
      <rPr>
        <sz val="9"/>
        <color theme="1"/>
        <rFont val="Century Gothic"/>
        <family val="2"/>
      </rPr>
      <t xml:space="preserve"> tab as shown on the right</t>
    </r>
  </si>
  <si>
    <r>
      <t xml:space="preserve">    4. On the Tools menu box, Click on the References tab as shown on the right, to open the </t>
    </r>
    <r>
      <rPr>
        <b/>
        <sz val="9"/>
        <color theme="1"/>
        <rFont val="Century Gothic"/>
        <family val="2"/>
      </rPr>
      <t>References - VBAProject</t>
    </r>
    <r>
      <rPr>
        <sz val="9"/>
        <color theme="1"/>
        <rFont val="Century Gothic"/>
        <family val="2"/>
      </rPr>
      <t xml:space="preserve"> menu</t>
    </r>
  </si>
  <si>
    <t>Go To Model</t>
  </si>
  <si>
    <t>The model allows users to enter fertilizer inputs, enter fertilizer prices to formulate an NPK blend of choice</t>
  </si>
  <si>
    <r>
      <t xml:space="preserve">    6. Click </t>
    </r>
    <r>
      <rPr>
        <sz val="11"/>
        <color rgb="FFC00000"/>
        <rFont val="Century Gothic"/>
        <family val="2"/>
      </rPr>
      <t>Run Model</t>
    </r>
    <r>
      <rPr>
        <sz val="9"/>
        <color theme="1"/>
        <rFont val="Century Gothic"/>
        <family val="2"/>
      </rPr>
      <t xml:space="preserve"> button to run the model</t>
    </r>
  </si>
  <si>
    <r>
      <t xml:space="preserve">    1. Click on the </t>
    </r>
    <r>
      <rPr>
        <b/>
        <sz val="9"/>
        <color theme="1"/>
        <rFont val="Century Gothic"/>
        <family val="2"/>
      </rPr>
      <t xml:space="preserve">Developer </t>
    </r>
    <r>
      <rPr>
        <sz val="9"/>
        <color theme="1"/>
        <rFont val="Century Gothic"/>
        <family val="2"/>
      </rPr>
      <t>tab</t>
    </r>
  </si>
  <si>
    <r>
      <t xml:space="preserve">    5. Look for </t>
    </r>
    <r>
      <rPr>
        <b/>
        <sz val="7.4"/>
        <color theme="1"/>
        <rFont val="Century Gothic"/>
        <family val="2"/>
      </rPr>
      <t>Solver</t>
    </r>
    <r>
      <rPr>
        <sz val="9"/>
        <color theme="1"/>
        <rFont val="Century Gothic"/>
        <family val="2"/>
      </rPr>
      <t xml:space="preserve"> and check (tick) the box next to it. Click </t>
    </r>
    <r>
      <rPr>
        <b/>
        <sz val="9"/>
        <color theme="1"/>
        <rFont val="Century Gothic"/>
        <family val="2"/>
      </rPr>
      <t>OK</t>
    </r>
    <r>
      <rPr>
        <sz val="9"/>
        <color theme="1"/>
        <rFont val="Century Gothic"/>
        <family val="2"/>
      </rPr>
      <t xml:space="preserve"> to activate Solver</t>
    </r>
  </si>
  <si>
    <t>This model optimizes fertilizer cost using linear programming approach to select fertilizer inputs, which generate the least cost</t>
  </si>
  <si>
    <t>Note: Before running the model, make sure Solver is activated and Macro or Content is 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</si>
</sst>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%"/>
    <numFmt numFmtId="165" formatCode="#,##0_);\(#,##0\);\–_)"/>
    <numFmt numFmtId="166" formatCode="#,##0.000"/>
    <numFmt numFmtId="167" formatCode="#,##0.0"/>
    <numFmt numFmtId="168" formatCode="#,##0_);\(#,##0_);\–_)"/>
    <numFmt numFmtId="169" formatCode="0.000"/>
    <numFmt numFmtId="170" formatCode="0.0"/>
    <numFmt numFmtId="171" formatCode="_-[$$-409]* #,##0.00_ ;_-[$$-409]* \-#,##0.00\ ;_-[$$-409]* &quot;-&quot;??_ ;_-@_ "/>
    <numFmt numFmtId="172" formatCode="[$$-C09]#,##0.00"/>
    <numFmt numFmtId="173" formatCode="#,##0.00_);\(#,##0.00\);\–_)"/>
    <numFmt numFmtId="174" formatCode="0.0000"/>
  </numFmts>
  <fonts count="1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vertAlign val="subscript"/>
      <sz val="1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vertAlign val="subscript"/>
      <sz val="11"/>
      <color rgb="FF0000FF"/>
      <name val="Calibri"/>
      <family val="2"/>
      <scheme val="minor"/>
    </font>
    <font>
      <b/>
      <sz val="10"/>
      <color rgb="FF00206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rgb="FF0000FF"/>
      <name val="Calibri"/>
      <family val="2"/>
      <scheme val="minor"/>
    </font>
    <font>
      <sz val="16"/>
      <color rgb="FF0000FF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2"/>
      <color theme="5" tint="-0.249977111117893"/>
      <name val="Calibri"/>
      <family val="2"/>
      <scheme val="minor"/>
    </font>
    <font>
      <b/>
      <sz val="22"/>
      <color rgb="FF7030A0"/>
      <name val="Calibri"/>
      <family val="2"/>
      <scheme val="minor"/>
    </font>
    <font>
      <sz val="12"/>
      <name val="宋体"/>
      <charset val="134"/>
    </font>
    <font>
      <b/>
      <sz val="9"/>
      <color rgb="FFC0000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vertAlign val="subscript"/>
      <sz val="10"/>
      <color rgb="FF0000FF"/>
      <name val="Calibri"/>
      <family val="2"/>
    </font>
    <font>
      <b/>
      <sz val="14"/>
      <color rgb="FF0000FF"/>
      <name val="Calibri"/>
      <family val="2"/>
      <scheme val="minor"/>
    </font>
    <font>
      <b/>
      <sz val="18"/>
      <color theme="0"/>
      <name val="Century Gothic"/>
      <family val="2"/>
    </font>
    <font>
      <sz val="11"/>
      <color theme="1"/>
      <name val="Century Gothic"/>
      <family val="2"/>
    </font>
    <font>
      <b/>
      <sz val="10"/>
      <color rgb="FF002060"/>
      <name val="Century Gothic"/>
      <family val="2"/>
    </font>
    <font>
      <b/>
      <sz val="14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rgb="FFC00000"/>
      <name val="Century Gothic"/>
      <family val="2"/>
    </font>
    <font>
      <sz val="11"/>
      <color rgb="FFFF0000"/>
      <name val="Century Gothic"/>
      <family val="2"/>
    </font>
    <font>
      <b/>
      <sz val="11"/>
      <color rgb="FFC00000"/>
      <name val="Century Gothic"/>
      <family val="2"/>
    </font>
    <font>
      <b/>
      <sz val="11"/>
      <color theme="1"/>
      <name val="Century Gothic"/>
      <family val="2"/>
    </font>
    <font>
      <b/>
      <sz val="10"/>
      <name val="Century Gothic"/>
      <family val="2"/>
    </font>
    <font>
      <b/>
      <sz val="12"/>
      <color theme="1"/>
      <name val="Century Gothic"/>
      <family val="2"/>
    </font>
    <font>
      <b/>
      <sz val="11"/>
      <name val="Century Gothic"/>
      <family val="2"/>
    </font>
    <font>
      <b/>
      <sz val="11"/>
      <color rgb="FF0000FF"/>
      <name val="Century Gothic"/>
      <family val="2"/>
    </font>
    <font>
      <b/>
      <sz val="11"/>
      <color rgb="FFFF0000"/>
      <name val="Century Gothic"/>
      <family val="2"/>
    </font>
    <font>
      <b/>
      <sz val="10"/>
      <color rgb="FF0000FF"/>
      <name val="Century Gothic"/>
      <family val="2"/>
    </font>
    <font>
      <b/>
      <sz val="14"/>
      <color theme="1"/>
      <name val="Century Gothic"/>
      <family val="2"/>
    </font>
    <font>
      <b/>
      <vertAlign val="subscript"/>
      <sz val="10"/>
      <name val="Century Gothic"/>
      <family val="2"/>
    </font>
    <font>
      <sz val="14"/>
      <color theme="1"/>
      <name val="Century Gothic"/>
      <family val="2"/>
    </font>
    <font>
      <b/>
      <sz val="12"/>
      <color rgb="FFFF0000"/>
      <name val="Century Gothic"/>
      <family val="2"/>
    </font>
    <font>
      <b/>
      <vertAlign val="subscript"/>
      <sz val="11"/>
      <name val="Century Gothic"/>
      <family val="2"/>
    </font>
    <font>
      <b/>
      <sz val="14"/>
      <color rgb="FF0000FF"/>
      <name val="Century Gothic"/>
      <family val="2"/>
    </font>
    <font>
      <b/>
      <sz val="12"/>
      <color rgb="FFC00000"/>
      <name val="Century Gothic"/>
      <family val="2"/>
    </font>
    <font>
      <b/>
      <sz val="9"/>
      <color rgb="FFC00000"/>
      <name val="Century Gothic"/>
      <family val="2"/>
    </font>
    <font>
      <b/>
      <sz val="16"/>
      <color rgb="FF0000FF"/>
      <name val="Century Gothic"/>
      <family val="2"/>
    </font>
    <font>
      <b/>
      <sz val="9"/>
      <color theme="1"/>
      <name val="Century Gothic"/>
      <family val="2"/>
    </font>
    <font>
      <b/>
      <sz val="10"/>
      <color theme="1"/>
      <name val="Century Gothic"/>
      <family val="2"/>
    </font>
    <font>
      <b/>
      <sz val="10"/>
      <color rgb="FFFF0000"/>
      <name val="Century Gothic"/>
      <family val="2"/>
    </font>
    <font>
      <b/>
      <sz val="12"/>
      <color rgb="FF0000FF"/>
      <name val="Century Gothic"/>
      <family val="2"/>
    </font>
    <font>
      <b/>
      <sz val="16"/>
      <color theme="0"/>
      <name val="Century Gothic"/>
      <family val="2"/>
    </font>
    <font>
      <b/>
      <sz val="14"/>
      <color rgb="FF002060"/>
      <name val="Century Gothic"/>
      <family val="2"/>
    </font>
    <font>
      <sz val="9"/>
      <color theme="1"/>
      <name val="Century Gothic"/>
      <family val="2"/>
    </font>
    <font>
      <b/>
      <sz val="9"/>
      <color rgb="FF0000FF"/>
      <name val="Century Gothic"/>
      <family val="2"/>
    </font>
    <font>
      <b/>
      <sz val="9"/>
      <color rgb="FFFF0000"/>
      <name val="Century Gothic"/>
      <family val="2"/>
    </font>
    <font>
      <b/>
      <sz val="9"/>
      <name val="Century Gothic"/>
      <family val="2"/>
    </font>
    <font>
      <b/>
      <sz val="8"/>
      <name val="Century Gothic"/>
      <family val="2"/>
    </font>
    <font>
      <b/>
      <sz val="8"/>
      <color indexed="81"/>
      <name val="Century Gothic"/>
      <family val="2"/>
    </font>
    <font>
      <sz val="8"/>
      <color indexed="81"/>
      <name val="Century Gothic"/>
      <family val="2"/>
    </font>
    <font>
      <sz val="9"/>
      <color theme="0"/>
      <name val="Century Gothic"/>
      <family val="2"/>
    </font>
    <font>
      <b/>
      <u/>
      <sz val="12"/>
      <color theme="1"/>
      <name val="Century Gothic"/>
      <family val="2"/>
    </font>
    <font>
      <b/>
      <sz val="9"/>
      <color theme="5" tint="-0.499984740745262"/>
      <name val="Century Gothic"/>
      <family val="2"/>
    </font>
    <font>
      <b/>
      <u/>
      <sz val="10"/>
      <color rgb="FF008F9D"/>
      <name val="Century Gothic"/>
      <family val="2"/>
    </font>
    <font>
      <b/>
      <sz val="11"/>
      <color theme="0"/>
      <name val="Century Gothic"/>
      <family val="2"/>
    </font>
    <font>
      <b/>
      <vertAlign val="subscript"/>
      <sz val="7.75"/>
      <color theme="1"/>
      <name val="Century Gothic"/>
      <family val="2"/>
    </font>
    <font>
      <b/>
      <vertAlign val="subscript"/>
      <sz val="9"/>
      <color theme="1"/>
      <name val="Century Gothic"/>
      <family val="2"/>
    </font>
    <font>
      <b/>
      <vertAlign val="subscript"/>
      <sz val="8.35"/>
      <color theme="1"/>
      <name val="Century Gothic"/>
      <family val="2"/>
    </font>
    <font>
      <sz val="10"/>
      <color rgb="FFC00000"/>
      <name val="Century Gothic"/>
      <family val="2"/>
    </font>
    <font>
      <b/>
      <vertAlign val="subscript"/>
      <sz val="8.6"/>
      <color theme="1"/>
      <name val="Century Gothic"/>
      <family val="2"/>
    </font>
    <font>
      <b/>
      <vertAlign val="subscript"/>
      <sz val="10"/>
      <color theme="1"/>
      <name val="Century Gothic"/>
      <family val="2"/>
    </font>
    <font>
      <b/>
      <sz val="10"/>
      <color theme="5" tint="-0.499984740745262"/>
      <name val="Century Gothic"/>
      <family val="2"/>
    </font>
    <font>
      <b/>
      <vertAlign val="subscript"/>
      <sz val="7.65"/>
      <color theme="1"/>
      <name val="Century Gothic"/>
      <family val="2"/>
    </font>
    <font>
      <b/>
      <sz val="16"/>
      <color rgb="FF002060"/>
      <name val="Century Gothic"/>
      <family val="2"/>
    </font>
    <font>
      <b/>
      <sz val="16"/>
      <color rgb="FF00B050"/>
      <name val="Century Gothic"/>
      <family val="2"/>
    </font>
    <font>
      <b/>
      <sz val="16"/>
      <color rgb="FF00206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6"/>
      <color theme="1"/>
      <name val="Century Gothic"/>
      <family val="2"/>
    </font>
    <font>
      <b/>
      <sz val="16"/>
      <color theme="1"/>
      <name val="Calibri"/>
      <family val="2"/>
      <scheme val="minor"/>
    </font>
    <font>
      <sz val="9"/>
      <name val="Century Gothic"/>
      <family val="2"/>
    </font>
    <font>
      <vertAlign val="subscript"/>
      <sz val="7.75"/>
      <color theme="1"/>
      <name val="Century Gothic"/>
      <family val="2"/>
    </font>
    <font>
      <sz val="6"/>
      <name val="Century Gothic"/>
      <family val="2"/>
    </font>
    <font>
      <vertAlign val="subscript"/>
      <sz val="6"/>
      <name val="Century Gothic"/>
      <family val="2"/>
    </font>
    <font>
      <sz val="6"/>
      <name val="Calibri"/>
      <family val="2"/>
      <scheme val="minor"/>
    </font>
    <font>
      <sz val="11"/>
      <name val="Calibri"/>
      <family val="2"/>
      <scheme val="minor"/>
    </font>
    <font>
      <b/>
      <sz val="6"/>
      <name val="Century Gothic"/>
      <family val="2"/>
    </font>
    <font>
      <sz val="9"/>
      <color rgb="FFFF0000"/>
      <name val="Century Gothic"/>
      <family val="2"/>
    </font>
    <font>
      <b/>
      <sz val="9"/>
      <color rgb="FF00B050"/>
      <name val="Century Gothic"/>
      <family val="2"/>
    </font>
    <font>
      <b/>
      <sz val="11"/>
      <color rgb="FF0070C0"/>
      <name val="Century Gothic"/>
      <family val="2"/>
    </font>
    <font>
      <b/>
      <sz val="8"/>
      <name val="Cambria"/>
      <family val="1"/>
    </font>
    <font>
      <sz val="8"/>
      <color theme="1"/>
      <name val="Cambria"/>
      <family val="1"/>
    </font>
    <font>
      <sz val="8"/>
      <name val="Cambria"/>
      <family val="1"/>
    </font>
    <font>
      <vertAlign val="subscript"/>
      <sz val="8"/>
      <name val="Cambria"/>
      <family val="1"/>
    </font>
    <font>
      <b/>
      <sz val="10"/>
      <color rgb="FFC00000"/>
      <name val="Century Gothic"/>
      <family val="2"/>
    </font>
    <font>
      <b/>
      <sz val="12"/>
      <name val="Century Gothic"/>
      <family val="2"/>
    </font>
    <font>
      <b/>
      <sz val="18"/>
      <color theme="1"/>
      <name val="Century Gothic"/>
      <family val="2"/>
    </font>
    <font>
      <b/>
      <sz val="14"/>
      <color theme="1"/>
      <name val="Miriam Fixed"/>
      <family val="3"/>
      <charset val="177"/>
    </font>
    <font>
      <sz val="9"/>
      <color theme="1"/>
      <name val="Miriam Fixed"/>
      <family val="3"/>
      <charset val="177"/>
    </font>
    <font>
      <b/>
      <sz val="14"/>
      <color theme="0"/>
      <name val="Miriam Fixed"/>
      <family val="3"/>
      <charset val="177"/>
    </font>
    <font>
      <b/>
      <sz val="12"/>
      <color theme="0"/>
      <name val="Miriam Fixed"/>
      <family val="3"/>
      <charset val="177"/>
    </font>
    <font>
      <b/>
      <sz val="11"/>
      <color theme="1"/>
      <name val="Miriam Fixed"/>
      <family val="3"/>
      <charset val="177"/>
    </font>
    <font>
      <sz val="11"/>
      <color theme="1"/>
      <name val="Miriam Fixed"/>
      <family val="3"/>
      <charset val="177"/>
    </font>
    <font>
      <b/>
      <sz val="12"/>
      <color theme="1"/>
      <name val="Miriam Fixed"/>
      <family val="3"/>
      <charset val="177"/>
    </font>
    <font>
      <b/>
      <sz val="11"/>
      <name val="Miriam Fixed"/>
      <family val="3"/>
      <charset val="177"/>
    </font>
    <font>
      <b/>
      <sz val="12"/>
      <name val="Miriam Fixed"/>
      <family val="3"/>
      <charset val="177"/>
    </font>
    <font>
      <b/>
      <vertAlign val="subscript"/>
      <sz val="11"/>
      <name val="Miriam Fixed"/>
      <family val="3"/>
      <charset val="177"/>
    </font>
    <font>
      <sz val="14"/>
      <color theme="1"/>
      <name val="Miriam Fixed"/>
      <family val="3"/>
      <charset val="177"/>
    </font>
    <font>
      <b/>
      <sz val="12"/>
      <color rgb="FF0000FF"/>
      <name val="Miriam Fixed"/>
      <family val="3"/>
      <charset val="177"/>
    </font>
    <font>
      <b/>
      <sz val="12"/>
      <color rgb="FFC00000"/>
      <name val="Miriam Fixed"/>
      <family val="3"/>
      <charset val="177"/>
    </font>
    <font>
      <b/>
      <sz val="16"/>
      <color theme="1"/>
      <name val="Miriam Fixed"/>
      <family val="3"/>
      <charset val="177"/>
    </font>
    <font>
      <sz val="16"/>
      <color theme="1"/>
      <name val="Miriam Fixed"/>
      <family val="3"/>
      <charset val="177"/>
    </font>
    <font>
      <b/>
      <sz val="10"/>
      <color theme="0"/>
      <name val="Century Gothic"/>
      <family val="2"/>
    </font>
    <font>
      <b/>
      <u/>
      <sz val="11"/>
      <color theme="9" tint="-0.499984740745262"/>
      <name val="Century Gothic"/>
      <family val="2"/>
    </font>
    <font>
      <b/>
      <sz val="7.4"/>
      <color theme="1"/>
      <name val="Century Gothic"/>
      <family val="2"/>
    </font>
    <font>
      <b/>
      <u/>
      <sz val="11"/>
      <color theme="5" tint="-0.499984740745262"/>
      <name val="Century Gothic"/>
      <family val="2"/>
    </font>
    <font>
      <b/>
      <u/>
      <sz val="11"/>
      <color rgb="FF0000FF"/>
      <name val="Century Gothic"/>
      <family val="2"/>
    </font>
    <font>
      <u/>
      <sz val="11"/>
      <color theme="10"/>
      <name val="Calibri"/>
      <family val="2"/>
      <scheme val="minor"/>
    </font>
    <font>
      <sz val="11"/>
      <color rgb="FFC00000"/>
      <name val="Century Gothic"/>
      <family val="2"/>
    </font>
  </fonts>
  <fills count="4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211E52"/>
        <bgColor indexed="64"/>
      </patternFill>
    </fill>
    <fill>
      <patternFill patternType="solid">
        <fgColor rgb="FF008F9D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3FFCC"/>
        <bgColor indexed="64"/>
      </patternFill>
    </fill>
    <fill>
      <patternFill patternType="solid">
        <fgColor rgb="FFE5FFEE"/>
        <bgColor indexed="64"/>
      </patternFill>
    </fill>
    <fill>
      <patternFill patternType="solid">
        <fgColor rgb="FFFBF9EF"/>
        <bgColor indexed="64"/>
      </patternFill>
    </fill>
    <fill>
      <patternFill patternType="solid">
        <fgColor rgb="FF8DEDF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77787B"/>
        <bgColor indexed="64"/>
      </patternFill>
    </fill>
    <fill>
      <patternFill patternType="solid">
        <fgColor rgb="FFFFDB69"/>
        <bgColor indexed="64"/>
      </patternFill>
    </fill>
    <fill>
      <patternFill patternType="solid">
        <fgColor rgb="FFFFFF81"/>
        <bgColor indexed="64"/>
      </patternFill>
    </fill>
    <fill>
      <patternFill patternType="solid">
        <fgColor rgb="FFDCDDDE"/>
        <bgColor indexed="64"/>
      </patternFill>
    </fill>
    <fill>
      <patternFill patternType="solid">
        <fgColor rgb="FFD2EBEE"/>
        <bgColor indexed="64"/>
      </patternFill>
    </fill>
    <fill>
      <patternFill patternType="solid">
        <fgColor rgb="FFF2F8EE"/>
        <bgColor indexed="64"/>
      </patternFill>
    </fill>
    <fill>
      <patternFill patternType="solid">
        <fgColor rgb="FFECF0F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FF6EA"/>
        <bgColor indexed="64"/>
      </patternFill>
    </fill>
    <fill>
      <patternFill patternType="solid">
        <fgColor rgb="FFFFFAEB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-0.249977111117893"/>
        <bgColor indexed="64"/>
      </patternFill>
    </fill>
  </fills>
  <borders count="1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rgb="FFFF0000"/>
      </bottom>
      <diagonal/>
    </border>
    <border>
      <left/>
      <right/>
      <top style="thick">
        <color rgb="FF00FF00"/>
      </top>
      <bottom style="medium">
        <color indexed="64"/>
      </bottom>
      <diagonal/>
    </border>
    <border>
      <left/>
      <right style="medium">
        <color theme="0"/>
      </right>
      <top style="thick">
        <color rgb="FF00FF00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rgb="FF00FF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rgb="FF00FF00"/>
      </bottom>
      <diagonal/>
    </border>
    <border>
      <left style="thin">
        <color indexed="64"/>
      </left>
      <right/>
      <top style="medium">
        <color indexed="64"/>
      </top>
      <bottom style="thick">
        <color rgb="FF00FF00"/>
      </bottom>
      <diagonal/>
    </border>
    <border>
      <left/>
      <right style="medium">
        <color indexed="64"/>
      </right>
      <top style="thick">
        <color rgb="FF00FF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FF00"/>
      </bottom>
      <diagonal/>
    </border>
    <border>
      <left style="thin">
        <color indexed="64"/>
      </left>
      <right/>
      <top style="thin">
        <color indexed="64"/>
      </top>
      <bottom style="thick">
        <color rgb="FF00FF00"/>
      </bottom>
      <diagonal/>
    </border>
    <border>
      <left/>
      <right style="thin">
        <color indexed="64"/>
      </right>
      <top style="thick">
        <color rgb="FF00FF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FF00"/>
      </top>
      <bottom style="medium">
        <color indexed="64"/>
      </bottom>
      <diagonal/>
    </border>
    <border>
      <left style="thin">
        <color indexed="64"/>
      </left>
      <right/>
      <top style="thick">
        <color rgb="FF00FF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FF00"/>
      </top>
      <bottom style="thin">
        <color indexed="64"/>
      </bottom>
      <diagonal/>
    </border>
    <border>
      <left style="thin">
        <color indexed="64"/>
      </left>
      <right/>
      <top style="thick">
        <color rgb="FF00FF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FF00"/>
      </top>
      <bottom/>
      <diagonal/>
    </border>
    <border>
      <left/>
      <right style="thick">
        <color rgb="FF00FF00"/>
      </right>
      <top/>
      <bottom/>
      <diagonal/>
    </border>
    <border>
      <left style="thick">
        <color rgb="FF00FF00"/>
      </left>
      <right/>
      <top style="thick">
        <color rgb="FF00FF00"/>
      </top>
      <bottom style="medium">
        <color indexed="64"/>
      </bottom>
      <diagonal/>
    </border>
    <border>
      <left/>
      <right style="thick">
        <color rgb="FF00FF00"/>
      </right>
      <top style="thick">
        <color rgb="FF00FF00"/>
      </top>
      <bottom style="medium">
        <color indexed="64"/>
      </bottom>
      <diagonal/>
    </border>
    <border>
      <left style="thick">
        <color rgb="FF00FF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FF00"/>
      </right>
      <top style="medium">
        <color indexed="64"/>
      </top>
      <bottom style="medium">
        <color indexed="64"/>
      </bottom>
      <diagonal/>
    </border>
    <border>
      <left style="thick">
        <color rgb="FF00FF00"/>
      </left>
      <right/>
      <top style="medium">
        <color indexed="64"/>
      </top>
      <bottom style="thick">
        <color rgb="FF00FF00"/>
      </bottom>
      <diagonal/>
    </border>
    <border>
      <left style="thin">
        <color indexed="64"/>
      </left>
      <right style="thick">
        <color rgb="FF00FF00"/>
      </right>
      <top style="medium">
        <color indexed="64"/>
      </top>
      <bottom style="thick">
        <color rgb="FF00FF00"/>
      </bottom>
      <diagonal/>
    </border>
    <border>
      <left style="thick">
        <color rgb="FF00FF00"/>
      </left>
      <right/>
      <top/>
      <bottom/>
      <diagonal/>
    </border>
    <border>
      <left/>
      <right style="thick">
        <color rgb="FF00FF00"/>
      </right>
      <top style="medium">
        <color indexed="64"/>
      </top>
      <bottom style="medium">
        <color indexed="64"/>
      </bottom>
      <diagonal/>
    </border>
    <border>
      <left style="thick">
        <color rgb="FF00FF0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FF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rgb="FF00FF00"/>
      </right>
      <top/>
      <bottom style="thin">
        <color indexed="64"/>
      </bottom>
      <diagonal/>
    </border>
    <border>
      <left style="thick">
        <color rgb="FF00FF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00FF00"/>
      </right>
      <top style="thin">
        <color indexed="64"/>
      </top>
      <bottom style="thin">
        <color indexed="64"/>
      </bottom>
      <diagonal/>
    </border>
    <border>
      <left style="thick">
        <color rgb="FF00FF00"/>
      </left>
      <right style="thin">
        <color indexed="64"/>
      </right>
      <top style="thin">
        <color indexed="64"/>
      </top>
      <bottom style="thick">
        <color rgb="FF00FF00"/>
      </bottom>
      <diagonal/>
    </border>
    <border>
      <left style="thin">
        <color indexed="64"/>
      </left>
      <right style="thick">
        <color rgb="FF00FF00"/>
      </right>
      <top style="thin">
        <color indexed="64"/>
      </top>
      <bottom style="thick">
        <color rgb="FF00FF00"/>
      </bottom>
      <diagonal/>
    </border>
    <border>
      <left style="thick">
        <color rgb="FF00FF00"/>
      </left>
      <right/>
      <top/>
      <bottom style="medium">
        <color indexed="64"/>
      </bottom>
      <diagonal/>
    </border>
    <border>
      <left/>
      <right style="thick">
        <color rgb="FF00FF00"/>
      </right>
      <top/>
      <bottom style="medium">
        <color indexed="64"/>
      </bottom>
      <diagonal/>
    </border>
    <border>
      <left style="thick">
        <color rgb="FF00FF00"/>
      </left>
      <right/>
      <top style="medium">
        <color indexed="64"/>
      </top>
      <bottom/>
      <diagonal/>
    </border>
    <border>
      <left/>
      <right style="thick">
        <color rgb="FF00FF00"/>
      </right>
      <top style="medium">
        <color indexed="64"/>
      </top>
      <bottom/>
      <diagonal/>
    </border>
    <border>
      <left style="thin">
        <color indexed="64"/>
      </left>
      <right style="thick">
        <color rgb="FF00FF00"/>
      </right>
      <top style="thick">
        <color rgb="FF00FF00"/>
      </top>
      <bottom style="medium">
        <color indexed="64"/>
      </bottom>
      <diagonal/>
    </border>
    <border>
      <left style="thick">
        <color rgb="FF00FF00"/>
      </left>
      <right style="thin">
        <color indexed="64"/>
      </right>
      <top style="thick">
        <color rgb="FF00FF00"/>
      </top>
      <bottom style="thin">
        <color indexed="64"/>
      </bottom>
      <diagonal/>
    </border>
    <border>
      <left style="thick">
        <color rgb="FF00FF00"/>
      </left>
      <right style="thin">
        <color indexed="64"/>
      </right>
      <top style="thick">
        <color rgb="FFFF0000"/>
      </top>
      <bottom style="medium">
        <color indexed="64"/>
      </bottom>
      <diagonal/>
    </border>
    <border>
      <left style="thick">
        <color rgb="FF00FF00"/>
      </left>
      <right style="thin">
        <color indexed="64"/>
      </right>
      <top/>
      <bottom/>
      <diagonal/>
    </border>
    <border>
      <left style="thick">
        <color rgb="FF00FF00"/>
      </left>
      <right style="thin">
        <color indexed="64"/>
      </right>
      <top style="thin">
        <color indexed="64"/>
      </top>
      <bottom/>
      <diagonal/>
    </border>
    <border>
      <left style="thick">
        <color rgb="FF00FF00"/>
      </left>
      <right style="thin">
        <color indexed="64"/>
      </right>
      <top style="medium">
        <color indexed="64"/>
      </top>
      <bottom style="thick">
        <color rgb="FFFF0000"/>
      </bottom>
      <diagonal/>
    </border>
    <border>
      <left style="thick">
        <color rgb="FF00FF00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rgb="FF00FF00"/>
      </bottom>
      <diagonal/>
    </border>
    <border>
      <left/>
      <right style="thick">
        <color rgb="FF00FF00"/>
      </right>
      <top/>
      <bottom style="thick">
        <color rgb="FF00FF00"/>
      </bottom>
      <diagonal/>
    </border>
    <border>
      <left style="thin">
        <color indexed="64"/>
      </left>
      <right style="thick">
        <color rgb="FF00FF00"/>
      </right>
      <top style="thick">
        <color rgb="FFFF0000"/>
      </top>
      <bottom style="medium">
        <color indexed="64"/>
      </bottom>
      <diagonal/>
    </border>
    <border>
      <left style="thin">
        <color indexed="64"/>
      </left>
      <right style="thick">
        <color rgb="FF00FF00"/>
      </right>
      <top/>
      <bottom/>
      <diagonal/>
    </border>
    <border>
      <left style="thin">
        <color indexed="64"/>
      </left>
      <right style="thick">
        <color rgb="FF00FF00"/>
      </right>
      <top style="thin">
        <color indexed="64"/>
      </top>
      <bottom/>
      <diagonal/>
    </border>
    <border>
      <left style="thin">
        <color indexed="64"/>
      </left>
      <right style="thick">
        <color rgb="FF00FF00"/>
      </right>
      <top style="medium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rgb="FF00FF00"/>
      </right>
      <top style="medium">
        <color indexed="64"/>
      </top>
      <bottom/>
      <diagonal/>
    </border>
    <border>
      <left/>
      <right/>
      <top style="thick">
        <color rgb="FF00FF00"/>
      </top>
      <bottom/>
      <diagonal/>
    </border>
    <border>
      <left/>
      <right style="thick">
        <color rgb="FF00FF00"/>
      </right>
      <top style="thick">
        <color rgb="FF00FF00"/>
      </top>
      <bottom/>
      <diagonal/>
    </border>
    <border>
      <left style="medium">
        <color indexed="64"/>
      </left>
      <right style="thick">
        <color auto="1"/>
      </right>
      <top style="thick">
        <color rgb="FF00FF00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/>
      <right style="thick">
        <color auto="1"/>
      </right>
      <top/>
      <bottom style="medium">
        <color indexed="64"/>
      </bottom>
      <diagonal/>
    </border>
    <border>
      <left style="thick">
        <color auto="1"/>
      </left>
      <right/>
      <top/>
      <bottom style="thick">
        <color rgb="FF00FF00"/>
      </bottom>
      <diagonal/>
    </border>
    <border>
      <left/>
      <right style="thick">
        <color auto="1"/>
      </right>
      <top/>
      <bottom style="thick">
        <color rgb="FF00FF00"/>
      </bottom>
      <diagonal/>
    </border>
    <border>
      <left style="thick">
        <color auto="1"/>
      </left>
      <right style="medium">
        <color indexed="64"/>
      </right>
      <top style="thick">
        <color rgb="FF00FF00"/>
      </top>
      <bottom/>
      <diagonal/>
    </border>
    <border>
      <left style="thick">
        <color auto="1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rgb="FF00FF00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ck">
        <color rgb="FF00FF00"/>
      </right>
      <top style="medium">
        <color indexed="64"/>
      </top>
      <bottom style="thin">
        <color auto="1"/>
      </bottom>
      <diagonal/>
    </border>
    <border>
      <left style="thick">
        <color rgb="FF00FF00"/>
      </left>
      <right style="thin">
        <color indexed="64"/>
      </right>
      <top style="thick">
        <color rgb="FFFF0000"/>
      </top>
      <bottom/>
      <diagonal/>
    </border>
    <border>
      <left style="thin">
        <color indexed="64"/>
      </left>
      <right style="thin">
        <color indexed="64"/>
      </right>
      <top style="thick">
        <color rgb="FFFF0000"/>
      </top>
      <bottom/>
      <diagonal/>
    </border>
    <border>
      <left style="thin">
        <color indexed="64"/>
      </left>
      <right style="thick">
        <color rgb="FF00FF00"/>
      </right>
      <top style="thick">
        <color rgb="FFFF0000"/>
      </top>
      <bottom/>
      <diagonal/>
    </border>
    <border>
      <left style="thick">
        <color rgb="FF00FF00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rgb="FF00FF00"/>
      </right>
      <top/>
      <bottom style="medium">
        <color indexed="64"/>
      </bottom>
      <diagonal/>
    </border>
    <border>
      <left style="thick">
        <color rgb="FF00FF00"/>
      </left>
      <right style="thin">
        <color indexed="64"/>
      </right>
      <top style="thin">
        <color auto="1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rgb="FF00FF00"/>
      </right>
      <top style="thin">
        <color auto="1"/>
      </top>
      <bottom style="thick">
        <color rgb="FFFF0000"/>
      </bottom>
      <diagonal/>
    </border>
    <border>
      <left style="thick">
        <color rgb="FF00FF00"/>
      </left>
      <right/>
      <top style="medium">
        <color auto="1"/>
      </top>
      <bottom style="thick">
        <color rgb="FFFF0000"/>
      </bottom>
      <diagonal/>
    </border>
    <border>
      <left/>
      <right/>
      <top style="medium">
        <color auto="1"/>
      </top>
      <bottom style="thick">
        <color rgb="FFFF0000"/>
      </bottom>
      <diagonal/>
    </border>
    <border>
      <left/>
      <right style="thick">
        <color rgb="FF00FF00"/>
      </right>
      <top style="medium">
        <color auto="1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FF0000"/>
      </left>
      <right style="thin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FF0000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171" fontId="10" fillId="20" borderId="0"/>
    <xf numFmtId="172" fontId="10" fillId="20" borderId="0"/>
    <xf numFmtId="172" fontId="1" fillId="0" borderId="0"/>
    <xf numFmtId="0" fontId="40" fillId="0" borderId="0"/>
    <xf numFmtId="9" fontId="1" fillId="0" borderId="0" applyFont="0" applyFill="0" applyBorder="0" applyAlignment="0" applyProtection="0"/>
    <xf numFmtId="0" fontId="141" fillId="0" borderId="0" applyNumberFormat="0" applyFill="0" applyBorder="0" applyAlignment="0" applyProtection="0"/>
  </cellStyleXfs>
  <cellXfs count="1201">
    <xf numFmtId="0" fontId="0" fillId="0" borderId="0" xfId="0"/>
    <xf numFmtId="0" fontId="0" fillId="15" borderId="42" xfId="0" applyFill="1" applyBorder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21" xfId="0" applyBorder="1" applyAlignment="1" applyProtection="1">
      <alignment vertical="center"/>
      <protection hidden="1"/>
    </xf>
    <xf numFmtId="0" fontId="0" fillId="0" borderId="36" xfId="0" applyBorder="1" applyAlignment="1" applyProtection="1">
      <alignment vertical="center"/>
      <protection hidden="1"/>
    </xf>
    <xf numFmtId="0" fontId="16" fillId="25" borderId="32" xfId="0" applyFont="1" applyFill="1" applyBorder="1" applyAlignment="1" applyProtection="1">
      <alignment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0" fontId="16" fillId="27" borderId="40" xfId="0" applyFont="1" applyFill="1" applyBorder="1" applyAlignment="1" applyProtection="1">
      <alignment vertical="center"/>
      <protection hidden="1"/>
    </xf>
    <xf numFmtId="0" fontId="20" fillId="27" borderId="37" xfId="0" applyFont="1" applyFill="1" applyBorder="1" applyAlignment="1" applyProtection="1">
      <alignment vertical="center"/>
      <protection hidden="1"/>
    </xf>
    <xf numFmtId="0" fontId="0" fillId="0" borderId="34" xfId="0" applyBorder="1" applyAlignment="1" applyProtection="1">
      <alignment vertical="center"/>
      <protection hidden="1"/>
    </xf>
    <xf numFmtId="0" fontId="0" fillId="0" borderId="20" xfId="0" applyBorder="1" applyAlignment="1" applyProtection="1">
      <alignment vertical="center"/>
      <protection hidden="1"/>
    </xf>
    <xf numFmtId="0" fontId="0" fillId="0" borderId="4" xfId="0" applyBorder="1" applyAlignment="1" applyProtection="1">
      <alignment vertical="center"/>
      <protection hidden="1"/>
    </xf>
    <xf numFmtId="0" fontId="2" fillId="0" borderId="41" xfId="0" applyFont="1" applyBorder="1" applyAlignment="1" applyProtection="1">
      <alignment vertical="center"/>
      <protection hidden="1"/>
    </xf>
    <xf numFmtId="0" fontId="0" fillId="0" borderId="42" xfId="0" applyBorder="1" applyAlignment="1" applyProtection="1">
      <alignment vertical="center"/>
      <protection hidden="1"/>
    </xf>
    <xf numFmtId="0" fontId="18" fillId="0" borderId="15" xfId="0" applyFont="1" applyFill="1" applyBorder="1" applyAlignment="1" applyProtection="1">
      <alignment horizontal="center" vertical="center"/>
      <protection hidden="1"/>
    </xf>
    <xf numFmtId="0" fontId="0" fillId="14" borderId="41" xfId="0" applyFill="1" applyBorder="1" applyAlignment="1" applyProtection="1">
      <alignment vertical="center"/>
      <protection hidden="1"/>
    </xf>
    <xf numFmtId="0" fontId="0" fillId="14" borderId="51" xfId="0" applyFill="1" applyBorder="1" applyAlignment="1" applyProtection="1">
      <alignment vertical="center"/>
      <protection hidden="1"/>
    </xf>
    <xf numFmtId="0" fontId="25" fillId="14" borderId="46" xfId="0" applyFont="1" applyFill="1" applyBorder="1" applyAlignment="1" applyProtection="1">
      <alignment vertical="center"/>
      <protection hidden="1"/>
    </xf>
    <xf numFmtId="0" fontId="0" fillId="14" borderId="46" xfId="0" applyFill="1" applyBorder="1" applyAlignment="1" applyProtection="1">
      <alignment vertical="center"/>
      <protection hidden="1"/>
    </xf>
    <xf numFmtId="0" fontId="25" fillId="14" borderId="46" xfId="0" applyFont="1" applyFill="1" applyBorder="1" applyAlignment="1" applyProtection="1">
      <alignment horizontal="center" vertical="center"/>
      <protection hidden="1"/>
    </xf>
    <xf numFmtId="0" fontId="3" fillId="2" borderId="26" xfId="0" applyFont="1" applyFill="1" applyBorder="1" applyAlignment="1" applyProtection="1">
      <alignment horizontal="center" vertical="center"/>
      <protection hidden="1"/>
    </xf>
    <xf numFmtId="0" fontId="3" fillId="2" borderId="2" xfId="0" applyFont="1" applyFill="1" applyBorder="1" applyAlignment="1" applyProtection="1">
      <alignment horizontal="center" vertical="center"/>
      <protection hidden="1"/>
    </xf>
    <xf numFmtId="0" fontId="0" fillId="27" borderId="2" xfId="0" applyFill="1" applyBorder="1" applyAlignment="1" applyProtection="1">
      <alignment horizontal="center" vertical="center"/>
      <protection hidden="1"/>
    </xf>
    <xf numFmtId="0" fontId="0" fillId="27" borderId="2" xfId="0" applyFill="1" applyBorder="1" applyAlignment="1" applyProtection="1">
      <alignment vertical="center"/>
      <protection hidden="1"/>
    </xf>
    <xf numFmtId="0" fontId="0" fillId="27" borderId="44" xfId="0" applyFill="1" applyBorder="1" applyAlignment="1" applyProtection="1">
      <alignment vertical="center"/>
      <protection hidden="1"/>
    </xf>
    <xf numFmtId="0" fontId="14" fillId="26" borderId="45" xfId="0" applyFont="1" applyFill="1" applyBorder="1" applyAlignment="1" applyProtection="1">
      <alignment horizontal="center" vertical="center"/>
      <protection hidden="1"/>
    </xf>
    <xf numFmtId="0" fontId="14" fillId="26" borderId="46" xfId="0" applyFont="1" applyFill="1" applyBorder="1" applyAlignment="1" applyProtection="1">
      <alignment horizontal="center" vertical="center"/>
      <protection hidden="1"/>
    </xf>
    <xf numFmtId="171" fontId="11" fillId="20" borderId="0" xfId="2" applyFont="1" applyBorder="1" applyAlignment="1" applyProtection="1">
      <alignment vertical="center"/>
      <protection hidden="1"/>
    </xf>
    <xf numFmtId="171" fontId="11" fillId="20" borderId="21" xfId="2" applyFont="1" applyBorder="1" applyAlignment="1" applyProtection="1">
      <alignment vertical="center"/>
      <protection hidden="1"/>
    </xf>
    <xf numFmtId="0" fontId="0" fillId="0" borderId="20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2" fillId="7" borderId="49" xfId="0" applyFont="1" applyFill="1" applyBorder="1" applyAlignment="1" applyProtection="1">
      <alignment horizontal="center" vertical="center"/>
      <protection hidden="1"/>
    </xf>
    <xf numFmtId="9" fontId="13" fillId="7" borderId="14" xfId="0" applyNumberFormat="1" applyFont="1" applyFill="1" applyBorder="1" applyAlignment="1" applyProtection="1">
      <alignment horizontal="center" vertical="center"/>
      <protection hidden="1"/>
    </xf>
    <xf numFmtId="1" fontId="13" fillId="7" borderId="14" xfId="0" applyNumberFormat="1" applyFont="1" applyFill="1" applyBorder="1" applyAlignment="1" applyProtection="1">
      <alignment horizontal="center" vertical="center"/>
      <protection hidden="1"/>
    </xf>
    <xf numFmtId="170" fontId="2" fillId="7" borderId="14" xfId="0" applyNumberFormat="1" applyFont="1" applyFill="1" applyBorder="1" applyAlignment="1" applyProtection="1">
      <alignment horizontal="center" vertical="center"/>
      <protection hidden="1"/>
    </xf>
    <xf numFmtId="170" fontId="13" fillId="7" borderId="14" xfId="0" applyNumberFormat="1" applyFont="1" applyFill="1" applyBorder="1" applyAlignment="1" applyProtection="1">
      <alignment horizontal="center" vertical="center"/>
      <protection hidden="1"/>
    </xf>
    <xf numFmtId="0" fontId="25" fillId="22" borderId="41" xfId="0" applyFont="1" applyFill="1" applyBorder="1" applyAlignment="1" applyProtection="1">
      <alignment vertical="center"/>
      <protection hidden="1"/>
    </xf>
    <xf numFmtId="0" fontId="0" fillId="22" borderId="42" xfId="0" applyFill="1" applyBorder="1" applyAlignment="1" applyProtection="1">
      <alignment vertical="center"/>
      <protection hidden="1"/>
    </xf>
    <xf numFmtId="1" fontId="12" fillId="13" borderId="16" xfId="0" applyNumberFormat="1" applyFont="1" applyFill="1" applyBorder="1" applyAlignment="1" applyProtection="1">
      <alignment horizontal="center" vertical="center"/>
      <protection hidden="1"/>
    </xf>
    <xf numFmtId="0" fontId="26" fillId="7" borderId="45" xfId="0" applyFont="1" applyFill="1" applyBorder="1" applyAlignment="1" applyProtection="1">
      <alignment horizontal="left" vertical="center"/>
      <protection hidden="1"/>
    </xf>
    <xf numFmtId="0" fontId="0" fillId="22" borderId="51" xfId="0" applyFill="1" applyBorder="1" applyAlignment="1" applyProtection="1">
      <alignment vertical="center"/>
      <protection hidden="1"/>
    </xf>
    <xf numFmtId="0" fontId="0" fillId="22" borderId="43" xfId="0" applyFill="1" applyBorder="1" applyAlignment="1" applyProtection="1">
      <alignment vertical="center"/>
      <protection hidden="1"/>
    </xf>
    <xf numFmtId="0" fontId="2" fillId="7" borderId="23" xfId="0" applyFont="1" applyFill="1" applyBorder="1" applyAlignment="1" applyProtection="1">
      <alignment horizontal="center" vertical="center"/>
      <protection hidden="1"/>
    </xf>
    <xf numFmtId="9" fontId="13" fillId="7" borderId="1" xfId="0" applyNumberFormat="1" applyFont="1" applyFill="1" applyBorder="1" applyAlignment="1" applyProtection="1">
      <alignment horizontal="center" vertical="center"/>
      <protection hidden="1"/>
    </xf>
    <xf numFmtId="1" fontId="13" fillId="7" borderId="1" xfId="0" applyNumberFormat="1" applyFont="1" applyFill="1" applyBorder="1" applyAlignment="1" applyProtection="1">
      <alignment horizontal="center" vertical="center"/>
      <protection hidden="1"/>
    </xf>
    <xf numFmtId="170" fontId="2" fillId="7" borderId="1" xfId="0" applyNumberFormat="1" applyFont="1" applyFill="1" applyBorder="1" applyAlignment="1" applyProtection="1">
      <alignment horizontal="center" vertical="center"/>
      <protection hidden="1"/>
    </xf>
    <xf numFmtId="170" fontId="13" fillId="7" borderId="1" xfId="0" applyNumberFormat="1" applyFont="1" applyFill="1" applyBorder="1" applyAlignment="1" applyProtection="1">
      <alignment horizontal="center" vertical="center"/>
      <protection hidden="1"/>
    </xf>
    <xf numFmtId="170" fontId="16" fillId="22" borderId="46" xfId="0" applyNumberFormat="1" applyFont="1" applyFill="1" applyBorder="1" applyAlignment="1" applyProtection="1">
      <alignment horizontal="center" vertical="center"/>
      <protection hidden="1"/>
    </xf>
    <xf numFmtId="0" fontId="17" fillId="27" borderId="46" xfId="0" applyFont="1" applyFill="1" applyBorder="1" applyAlignment="1" applyProtection="1">
      <alignment vertical="center"/>
      <protection hidden="1"/>
    </xf>
    <xf numFmtId="0" fontId="0" fillId="0" borderId="18" xfId="0" applyBorder="1" applyAlignment="1" applyProtection="1">
      <alignment vertical="center"/>
      <protection hidden="1"/>
    </xf>
    <xf numFmtId="0" fontId="0" fillId="0" borderId="39" xfId="0" applyBorder="1" applyAlignment="1" applyProtection="1">
      <alignment vertical="center"/>
      <protection hidden="1"/>
    </xf>
    <xf numFmtId="0" fontId="0" fillId="0" borderId="30" xfId="0" applyBorder="1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171" fontId="24" fillId="21" borderId="20" xfId="2" applyFont="1" applyFill="1" applyBorder="1" applyAlignment="1" applyProtection="1">
      <alignment vertical="center"/>
      <protection hidden="1"/>
    </xf>
    <xf numFmtId="171" fontId="11" fillId="21" borderId="0" xfId="2" applyFont="1" applyFill="1" applyBorder="1" applyAlignment="1" applyProtection="1">
      <alignment vertical="center"/>
      <protection hidden="1"/>
    </xf>
    <xf numFmtId="171" fontId="11" fillId="21" borderId="21" xfId="2" applyFont="1" applyFill="1" applyBorder="1" applyAlignment="1" applyProtection="1">
      <alignment vertical="center"/>
      <protection hidden="1"/>
    </xf>
    <xf numFmtId="0" fontId="14" fillId="17" borderId="45" xfId="0" applyFont="1" applyFill="1" applyBorder="1" applyAlignment="1" applyProtection="1">
      <alignment horizontal="center" vertical="center"/>
      <protection hidden="1"/>
    </xf>
    <xf numFmtId="0" fontId="14" fillId="9" borderId="46" xfId="0" applyFont="1" applyFill="1" applyBorder="1" applyAlignment="1" applyProtection="1">
      <alignment horizontal="center" vertical="center"/>
      <protection hidden="1"/>
    </xf>
    <xf numFmtId="0" fontId="25" fillId="9" borderId="41" xfId="0" applyFont="1" applyFill="1" applyBorder="1" applyAlignment="1" applyProtection="1">
      <alignment vertical="center"/>
      <protection hidden="1"/>
    </xf>
    <xf numFmtId="0" fontId="0" fillId="9" borderId="42" xfId="0" applyFill="1" applyBorder="1" applyAlignment="1" applyProtection="1">
      <alignment vertical="center"/>
      <protection hidden="1"/>
    </xf>
    <xf numFmtId="1" fontId="12" fillId="24" borderId="16" xfId="0" applyNumberFormat="1" applyFont="1" applyFill="1" applyBorder="1" applyAlignment="1" applyProtection="1">
      <alignment horizontal="center" vertical="center"/>
      <protection hidden="1"/>
    </xf>
    <xf numFmtId="0" fontId="25" fillId="9" borderId="42" xfId="0" applyFont="1" applyFill="1" applyBorder="1" applyAlignment="1" applyProtection="1">
      <alignment vertical="center"/>
      <protection hidden="1"/>
    </xf>
    <xf numFmtId="1" fontId="16" fillId="8" borderId="16" xfId="0" applyNumberFormat="1" applyFont="1" applyFill="1" applyBorder="1" applyAlignment="1" applyProtection="1">
      <alignment horizontal="center" vertical="center"/>
      <protection hidden="1"/>
    </xf>
    <xf numFmtId="1" fontId="16" fillId="9" borderId="45" xfId="0" applyNumberFormat="1" applyFont="1" applyFill="1" applyBorder="1" applyAlignment="1" applyProtection="1">
      <alignment horizontal="center" vertical="center"/>
      <protection hidden="1"/>
    </xf>
    <xf numFmtId="1" fontId="16" fillId="9" borderId="46" xfId="0" applyNumberFormat="1" applyFont="1" applyFill="1" applyBorder="1" applyAlignment="1" applyProtection="1">
      <alignment horizontal="center" vertical="center"/>
      <protection hidden="1"/>
    </xf>
    <xf numFmtId="170" fontId="16" fillId="9" borderId="46" xfId="0" applyNumberFormat="1" applyFont="1" applyFill="1" applyBorder="1" applyAlignment="1" applyProtection="1">
      <alignment horizontal="center" vertical="center"/>
      <protection hidden="1"/>
    </xf>
    <xf numFmtId="0" fontId="17" fillId="9" borderId="46" xfId="0" applyFont="1" applyFill="1" applyBorder="1" applyAlignment="1" applyProtection="1">
      <alignment vertical="center"/>
      <protection hidden="1"/>
    </xf>
    <xf numFmtId="0" fontId="13" fillId="0" borderId="25" xfId="0" applyFont="1" applyFill="1" applyBorder="1" applyAlignment="1" applyProtection="1">
      <alignment horizontal="centerContinuous" vertical="center"/>
      <protection hidden="1"/>
    </xf>
    <xf numFmtId="0" fontId="0" fillId="0" borderId="13" xfId="0" applyFill="1" applyBorder="1" applyAlignment="1" applyProtection="1">
      <alignment horizontal="centerContinuous" vertical="center"/>
      <protection hidden="1"/>
    </xf>
    <xf numFmtId="0" fontId="0" fillId="0" borderId="22" xfId="0" applyFill="1" applyBorder="1" applyAlignment="1" applyProtection="1">
      <alignment horizontal="centerContinuous" vertical="center"/>
      <protection hidden="1"/>
    </xf>
    <xf numFmtId="0" fontId="27" fillId="11" borderId="26" xfId="0" applyFont="1" applyFill="1" applyBorder="1" applyAlignment="1" applyProtection="1">
      <alignment horizontal="center" vertical="center"/>
      <protection hidden="1"/>
    </xf>
    <xf numFmtId="0" fontId="27" fillId="11" borderId="2" xfId="0" applyFont="1" applyFill="1" applyBorder="1" applyAlignment="1" applyProtection="1">
      <alignment horizontal="center" vertical="center"/>
      <protection hidden="1"/>
    </xf>
    <xf numFmtId="0" fontId="27" fillId="11" borderId="44" xfId="0" applyFont="1" applyFill="1" applyBorder="1" applyAlignment="1" applyProtection="1">
      <alignment horizontal="center" vertical="center"/>
      <protection hidden="1"/>
    </xf>
    <xf numFmtId="0" fontId="14" fillId="26" borderId="48" xfId="0" applyFont="1" applyFill="1" applyBorder="1" applyAlignment="1" applyProtection="1">
      <alignment horizontal="center" vertical="center"/>
      <protection hidden="1"/>
    </xf>
    <xf numFmtId="0" fontId="0" fillId="0" borderId="35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15" xfId="0" applyBorder="1" applyAlignment="1" applyProtection="1">
      <alignment vertical="center"/>
      <protection hidden="1"/>
    </xf>
    <xf numFmtId="0" fontId="0" fillId="0" borderId="10" xfId="0" applyBorder="1" applyAlignment="1" applyProtection="1">
      <alignment vertical="center"/>
      <protection hidden="1"/>
    </xf>
    <xf numFmtId="0" fontId="0" fillId="0" borderId="11" xfId="0" applyBorder="1" applyAlignment="1" applyProtection="1">
      <alignment vertical="center"/>
      <protection hidden="1"/>
    </xf>
    <xf numFmtId="1" fontId="14" fillId="3" borderId="2" xfId="0" applyNumberFormat="1" applyFont="1" applyFill="1" applyBorder="1" applyAlignment="1" applyProtection="1">
      <alignment horizontal="center" vertical="center"/>
      <protection hidden="1"/>
    </xf>
    <xf numFmtId="0" fontId="13" fillId="7" borderId="13" xfId="0" applyFont="1" applyFill="1" applyBorder="1" applyAlignment="1" applyProtection="1">
      <alignment horizontal="centerContinuous" vertical="center"/>
      <protection hidden="1"/>
    </xf>
    <xf numFmtId="0" fontId="13" fillId="7" borderId="9" xfId="0" applyFont="1" applyFill="1" applyBorder="1" applyAlignment="1" applyProtection="1">
      <alignment horizontal="centerContinuous" vertical="center"/>
      <protection hidden="1"/>
    </xf>
    <xf numFmtId="1" fontId="13" fillId="3" borderId="12" xfId="0" applyNumberFormat="1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Alignment="1" applyProtection="1">
      <alignment horizontal="centerContinuous" vertical="center"/>
      <protection hidden="1"/>
    </xf>
    <xf numFmtId="0" fontId="0" fillId="0" borderId="14" xfId="0" applyBorder="1" applyAlignment="1" applyProtection="1">
      <alignment vertical="center"/>
      <protection hidden="1"/>
    </xf>
    <xf numFmtId="0" fontId="0" fillId="0" borderId="6" xfId="0" applyBorder="1" applyAlignment="1" applyProtection="1">
      <alignment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0" fillId="0" borderId="8" xfId="0" applyBorder="1" applyAlignment="1" applyProtection="1">
      <alignment vertical="center"/>
      <protection hidden="1"/>
    </xf>
    <xf numFmtId="9" fontId="23" fillId="0" borderId="10" xfId="1" applyFont="1" applyFill="1" applyBorder="1" applyAlignment="1" applyProtection="1">
      <alignment horizontal="center" vertical="center"/>
      <protection hidden="1"/>
    </xf>
    <xf numFmtId="9" fontId="23" fillId="0" borderId="0" xfId="1" applyFont="1" applyFill="1" applyBorder="1" applyAlignment="1" applyProtection="1">
      <alignment horizontal="center" vertical="center"/>
      <protection hidden="1"/>
    </xf>
    <xf numFmtId="9" fontId="23" fillId="0" borderId="11" xfId="1" applyFont="1" applyFill="1" applyBorder="1" applyAlignment="1" applyProtection="1">
      <alignment horizontal="center" vertical="center"/>
      <protection hidden="1"/>
    </xf>
    <xf numFmtId="9" fontId="23" fillId="0" borderId="6" xfId="1" applyFont="1" applyFill="1" applyBorder="1" applyAlignment="1" applyProtection="1">
      <alignment horizontal="center" vertical="center"/>
      <protection hidden="1"/>
    </xf>
    <xf numFmtId="9" fontId="23" fillId="0" borderId="7" xfId="1" applyFont="1" applyFill="1" applyBorder="1" applyAlignment="1" applyProtection="1">
      <alignment horizontal="center" vertical="center"/>
      <protection hidden="1"/>
    </xf>
    <xf numFmtId="9" fontId="23" fillId="0" borderId="8" xfId="1" applyFont="1" applyFill="1" applyBorder="1" applyAlignment="1" applyProtection="1">
      <alignment horizontal="center" vertical="center"/>
      <protection hidden="1"/>
    </xf>
    <xf numFmtId="0" fontId="3" fillId="2" borderId="14" xfId="0" applyFont="1" applyFill="1" applyBorder="1" applyAlignment="1" applyProtection="1">
      <alignment horizontal="left" vertical="center" wrapText="1"/>
      <protection hidden="1"/>
    </xf>
    <xf numFmtId="0" fontId="3" fillId="2" borderId="14" xfId="0" applyFont="1" applyFill="1" applyBorder="1" applyAlignment="1" applyProtection="1">
      <alignment horizontal="center" vertical="center" wrapText="1"/>
      <protection hidden="1"/>
    </xf>
    <xf numFmtId="0" fontId="3" fillId="2" borderId="14" xfId="0" applyFont="1" applyFill="1" applyBorder="1" applyAlignment="1" applyProtection="1">
      <alignment vertical="center" wrapText="1"/>
      <protection hidden="1"/>
    </xf>
    <xf numFmtId="0" fontId="2" fillId="0" borderId="14" xfId="0" applyFont="1" applyBorder="1" applyAlignment="1" applyProtection="1">
      <alignment vertical="center" wrapText="1"/>
      <protection hidden="1"/>
    </xf>
    <xf numFmtId="0" fontId="5" fillId="2" borderId="1" xfId="0" applyFont="1" applyFill="1" applyBorder="1" applyAlignment="1" applyProtection="1">
      <alignment horizontal="left" vertical="center"/>
      <protection hidden="1"/>
    </xf>
    <xf numFmtId="0" fontId="5" fillId="2" borderId="1" xfId="0" applyFont="1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5" fillId="9" borderId="1" xfId="0" applyFont="1" applyFill="1" applyBorder="1" applyAlignment="1" applyProtection="1">
      <alignment horizontal="center" vertical="center"/>
      <protection hidden="1"/>
    </xf>
    <xf numFmtId="1" fontId="2" fillId="5" borderId="1" xfId="0" applyNumberFormat="1" applyFont="1" applyFill="1" applyBorder="1" applyAlignment="1" applyProtection="1">
      <alignment vertical="center"/>
      <protection hidden="1"/>
    </xf>
    <xf numFmtId="1" fontId="7" fillId="0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10" borderId="1" xfId="0" applyFill="1" applyBorder="1" applyAlignment="1" applyProtection="1">
      <alignment vertical="center"/>
      <protection hidden="1"/>
    </xf>
    <xf numFmtId="0" fontId="3" fillId="11" borderId="1" xfId="0" applyFont="1" applyFill="1" applyBorder="1" applyAlignment="1" applyProtection="1">
      <alignment horizontal="left" vertical="center"/>
      <protection hidden="1"/>
    </xf>
    <xf numFmtId="1" fontId="7" fillId="11" borderId="1" xfId="0" applyNumberFormat="1" applyFont="1" applyFill="1" applyBorder="1" applyAlignment="1" applyProtection="1">
      <alignment horizontal="center" vertical="center"/>
      <protection hidden="1"/>
    </xf>
    <xf numFmtId="0" fontId="5" fillId="11" borderId="1" xfId="0" applyFont="1" applyFill="1" applyBorder="1" applyAlignment="1" applyProtection="1">
      <alignment horizontal="center" vertical="center"/>
      <protection hidden="1"/>
    </xf>
    <xf numFmtId="0" fontId="0" fillId="11" borderId="1" xfId="0" quotePrefix="1" applyFill="1" applyBorder="1" applyAlignment="1" applyProtection="1">
      <alignment horizontal="center" vertical="center"/>
      <protection hidden="1"/>
    </xf>
    <xf numFmtId="0" fontId="0" fillId="11" borderId="1" xfId="0" applyFill="1" applyBorder="1" applyAlignment="1" applyProtection="1">
      <alignment vertical="center"/>
      <protection hidden="1"/>
    </xf>
    <xf numFmtId="0" fontId="3" fillId="12" borderId="1" xfId="0" applyFont="1" applyFill="1" applyBorder="1" applyAlignment="1" applyProtection="1">
      <alignment horizontal="left" vertical="center"/>
      <protection hidden="1"/>
    </xf>
    <xf numFmtId="1" fontId="7" fillId="12" borderId="1" xfId="0" applyNumberFormat="1" applyFont="1" applyFill="1" applyBorder="1" applyAlignment="1" applyProtection="1">
      <alignment horizontal="center" vertical="center"/>
      <protection hidden="1"/>
    </xf>
    <xf numFmtId="170" fontId="5" fillId="12" borderId="1" xfId="0" applyNumberFormat="1" applyFont="1" applyFill="1" applyBorder="1" applyAlignment="1" applyProtection="1">
      <alignment horizontal="center" vertical="center"/>
      <protection hidden="1"/>
    </xf>
    <xf numFmtId="0" fontId="0" fillId="12" borderId="1" xfId="0" quotePrefix="1" applyFill="1" applyBorder="1" applyAlignment="1" applyProtection="1">
      <alignment horizontal="center" vertical="center"/>
      <protection hidden="1"/>
    </xf>
    <xf numFmtId="0" fontId="0" fillId="12" borderId="1" xfId="0" applyFill="1" applyBorder="1" applyAlignment="1" applyProtection="1">
      <alignment vertical="center"/>
      <protection hidden="1"/>
    </xf>
    <xf numFmtId="0" fontId="3" fillId="18" borderId="1" xfId="0" applyFont="1" applyFill="1" applyBorder="1" applyAlignment="1" applyProtection="1">
      <alignment horizontal="left" vertical="center"/>
      <protection hidden="1"/>
    </xf>
    <xf numFmtId="1" fontId="7" fillId="18" borderId="1" xfId="0" applyNumberFormat="1" applyFont="1" applyFill="1" applyBorder="1" applyAlignment="1" applyProtection="1">
      <alignment horizontal="center" vertical="center"/>
      <protection hidden="1"/>
    </xf>
    <xf numFmtId="170" fontId="5" fillId="18" borderId="1" xfId="0" applyNumberFormat="1" applyFont="1" applyFill="1" applyBorder="1" applyAlignment="1" applyProtection="1">
      <alignment horizontal="center" vertical="center"/>
      <protection hidden="1"/>
    </xf>
    <xf numFmtId="0" fontId="0" fillId="18" borderId="1" xfId="0" quotePrefix="1" applyFill="1" applyBorder="1" applyAlignment="1" applyProtection="1">
      <alignment horizontal="center" vertical="center"/>
      <protection hidden="1"/>
    </xf>
    <xf numFmtId="0" fontId="0" fillId="18" borderId="1" xfId="0" applyFill="1" applyBorder="1" applyAlignment="1" applyProtection="1">
      <alignment vertical="center"/>
      <protection hidden="1"/>
    </xf>
    <xf numFmtId="0" fontId="3" fillId="22" borderId="1" xfId="0" applyFont="1" applyFill="1" applyBorder="1" applyAlignment="1" applyProtection="1">
      <alignment horizontal="left" vertical="center"/>
      <protection hidden="1"/>
    </xf>
    <xf numFmtId="169" fontId="7" fillId="22" borderId="1" xfId="0" applyNumberFormat="1" applyFont="1" applyFill="1" applyBorder="1" applyAlignment="1" applyProtection="1">
      <alignment horizontal="center" vertical="center"/>
      <protection hidden="1"/>
    </xf>
    <xf numFmtId="170" fontId="5" fillId="22" borderId="1" xfId="0" applyNumberFormat="1" applyFont="1" applyFill="1" applyBorder="1" applyAlignment="1" applyProtection="1">
      <alignment horizontal="center" vertical="center"/>
      <protection hidden="1"/>
    </xf>
    <xf numFmtId="0" fontId="0" fillId="22" borderId="1" xfId="0" quotePrefix="1" applyFill="1" applyBorder="1" applyAlignment="1" applyProtection="1">
      <alignment horizontal="center" vertical="center"/>
      <protection hidden="1"/>
    </xf>
    <xf numFmtId="0" fontId="0" fillId="22" borderId="1" xfId="0" applyFill="1" applyBorder="1" applyAlignment="1" applyProtection="1">
      <alignment vertical="center"/>
      <protection hidden="1"/>
    </xf>
    <xf numFmtId="0" fontId="0" fillId="22" borderId="1" xfId="0" applyFill="1" applyBorder="1" applyAlignment="1" applyProtection="1">
      <alignment horizontal="left" vertical="center"/>
      <protection hidden="1"/>
    </xf>
    <xf numFmtId="1" fontId="7" fillId="22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3" fillId="2" borderId="1" xfId="0" applyFont="1" applyFill="1" applyBorder="1" applyAlignment="1" applyProtection="1">
      <alignment horizontal="left" vertical="center" wrapText="1"/>
      <protection hidden="1"/>
    </xf>
    <xf numFmtId="0" fontId="3" fillId="2" borderId="1" xfId="0" applyFont="1" applyFill="1" applyBorder="1" applyAlignment="1" applyProtection="1">
      <alignment horizontal="center" vertical="center" wrapText="1"/>
      <protection hidden="1"/>
    </xf>
    <xf numFmtId="0" fontId="3" fillId="2" borderId="1" xfId="0" applyFont="1" applyFill="1" applyBorder="1" applyAlignment="1" applyProtection="1">
      <alignment vertical="center" wrapText="1"/>
      <protection hidden="1"/>
    </xf>
    <xf numFmtId="1" fontId="5" fillId="11" borderId="1" xfId="0" applyNumberFormat="1" applyFont="1" applyFill="1" applyBorder="1" applyAlignment="1" applyProtection="1">
      <alignment horizontal="center" vertical="center"/>
      <protection hidden="1"/>
    </xf>
    <xf numFmtId="1" fontId="7" fillId="3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5" fillId="2" borderId="1" xfId="0" applyFont="1" applyFill="1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3" fillId="2" borderId="1" xfId="0" applyFont="1" applyFill="1" applyBorder="1" applyAlignment="1" applyProtection="1">
      <alignment horizontal="left" vertical="center"/>
      <protection hidden="1"/>
    </xf>
    <xf numFmtId="165" fontId="5" fillId="2" borderId="1" xfId="0" applyNumberFormat="1" applyFont="1" applyFill="1" applyBorder="1" applyAlignment="1" applyProtection="1">
      <alignment horizontal="center" vertical="center"/>
      <protection hidden="1"/>
    </xf>
    <xf numFmtId="165" fontId="5" fillId="7" borderId="1" xfId="0" applyNumberFormat="1" applyFont="1" applyFill="1" applyBorder="1" applyAlignment="1" applyProtection="1">
      <alignment horizontal="center" vertical="center"/>
      <protection hidden="1"/>
    </xf>
    <xf numFmtId="165" fontId="6" fillId="2" borderId="1" xfId="0" applyNumberFormat="1" applyFont="1" applyFill="1" applyBorder="1" applyAlignment="1" applyProtection="1">
      <alignment horizontal="center" vertical="center"/>
      <protection hidden="1"/>
    </xf>
    <xf numFmtId="165" fontId="3" fillId="2" borderId="1" xfId="0" applyNumberFormat="1" applyFont="1" applyFill="1" applyBorder="1" applyAlignment="1" applyProtection="1">
      <alignment horizontal="center" vertical="center"/>
      <protection hidden="1"/>
    </xf>
    <xf numFmtId="165" fontId="5" fillId="5" borderId="1" xfId="0" applyNumberFormat="1" applyFont="1" applyFill="1" applyBorder="1" applyAlignment="1" applyProtection="1">
      <alignment horizontal="center" vertical="center"/>
      <protection hidden="1"/>
    </xf>
    <xf numFmtId="0" fontId="4" fillId="2" borderId="1" xfId="0" applyFont="1" applyFill="1" applyBorder="1" applyAlignment="1" applyProtection="1">
      <alignment horizontal="left" vertical="center"/>
      <protection hidden="1"/>
    </xf>
    <xf numFmtId="168" fontId="3" fillId="3" borderId="1" xfId="0" applyNumberFormat="1" applyFont="1" applyFill="1" applyBorder="1" applyAlignment="1" applyProtection="1">
      <alignment horizontal="center" vertical="center"/>
      <protection hidden="1"/>
    </xf>
    <xf numFmtId="168" fontId="3" fillId="4" borderId="1" xfId="0" applyNumberFormat="1" applyFont="1" applyFill="1" applyBorder="1" applyAlignment="1" applyProtection="1">
      <alignment vertical="center"/>
      <protection hidden="1"/>
    </xf>
    <xf numFmtId="168" fontId="3" fillId="6" borderId="1" xfId="0" applyNumberFormat="1" applyFont="1" applyFill="1" applyBorder="1" applyAlignment="1" applyProtection="1">
      <alignment vertical="center"/>
      <protection hidden="1"/>
    </xf>
    <xf numFmtId="168" fontId="4" fillId="4" borderId="1" xfId="0" applyNumberFormat="1" applyFont="1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" fontId="0" fillId="0" borderId="1" xfId="0" applyNumberFormat="1" applyBorder="1" applyAlignment="1" applyProtection="1">
      <alignment horizontal="center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1" xfId="0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2" fillId="26" borderId="45" xfId="0" applyFont="1" applyFill="1" applyBorder="1" applyAlignment="1" applyProtection="1">
      <alignment horizontal="center" vertical="center"/>
      <protection hidden="1"/>
    </xf>
    <xf numFmtId="0" fontId="12" fillId="26" borderId="46" xfId="0" applyFont="1" applyFill="1" applyBorder="1" applyAlignment="1" applyProtection="1">
      <alignment horizontal="center" vertical="center"/>
      <protection hidden="1"/>
    </xf>
    <xf numFmtId="0" fontId="17" fillId="27" borderId="46" xfId="0" applyFont="1" applyFill="1" applyBorder="1" applyAlignment="1" applyProtection="1">
      <alignment horizontal="center" vertical="center"/>
      <protection hidden="1"/>
    </xf>
    <xf numFmtId="0" fontId="17" fillId="27" borderId="47" xfId="0" applyFont="1" applyFill="1" applyBorder="1" applyAlignment="1" applyProtection="1">
      <alignment vertical="center"/>
      <protection hidden="1"/>
    </xf>
    <xf numFmtId="0" fontId="17" fillId="27" borderId="43" xfId="0" applyFont="1" applyFill="1" applyBorder="1" applyAlignment="1" applyProtection="1">
      <alignment vertical="center"/>
      <protection hidden="1"/>
    </xf>
    <xf numFmtId="0" fontId="13" fillId="0" borderId="20" xfId="0" applyFont="1" applyBorder="1" applyAlignment="1" applyProtection="1">
      <alignment horizontal="center" vertical="center"/>
      <protection hidden="1"/>
    </xf>
    <xf numFmtId="0" fontId="13" fillId="0" borderId="0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vertical="center"/>
      <protection hidden="1"/>
    </xf>
    <xf numFmtId="0" fontId="2" fillId="0" borderId="21" xfId="0" applyFont="1" applyBorder="1" applyAlignment="1" applyProtection="1">
      <alignment vertical="center"/>
      <protection hidden="1"/>
    </xf>
    <xf numFmtId="0" fontId="0" fillId="22" borderId="47" xfId="0" applyFill="1" applyBorder="1" applyAlignment="1" applyProtection="1">
      <alignment vertical="center"/>
      <protection hidden="1"/>
    </xf>
    <xf numFmtId="0" fontId="12" fillId="26" borderId="43" xfId="0" applyFont="1" applyFill="1" applyBorder="1" applyAlignment="1" applyProtection="1">
      <alignment horizontal="center" vertical="center"/>
      <protection hidden="1"/>
    </xf>
    <xf numFmtId="0" fontId="30" fillId="15" borderId="41" xfId="0" applyFont="1" applyFill="1" applyBorder="1" applyAlignment="1" applyProtection="1">
      <alignment vertical="center"/>
      <protection hidden="1"/>
    </xf>
    <xf numFmtId="1" fontId="16" fillId="22" borderId="45" xfId="0" applyNumberFormat="1" applyFont="1" applyFill="1" applyBorder="1" applyAlignment="1" applyProtection="1">
      <alignment horizontal="center" vertical="center"/>
      <protection hidden="1"/>
    </xf>
    <xf numFmtId="1" fontId="16" fillId="22" borderId="46" xfId="0" applyNumberFormat="1" applyFont="1" applyFill="1" applyBorder="1" applyAlignment="1" applyProtection="1">
      <alignment horizontal="center" vertical="center"/>
      <protection hidden="1"/>
    </xf>
    <xf numFmtId="171" fontId="24" fillId="20" borderId="20" xfId="2" applyFont="1" applyBorder="1" applyAlignment="1" applyProtection="1">
      <alignment vertical="center"/>
      <protection hidden="1"/>
    </xf>
    <xf numFmtId="0" fontId="17" fillId="0" borderId="13" xfId="0" applyFont="1" applyFill="1" applyBorder="1" applyAlignment="1" applyProtection="1">
      <alignment horizontal="centerContinuous" vertical="center"/>
      <protection hidden="1"/>
    </xf>
    <xf numFmtId="0" fontId="13" fillId="7" borderId="1" xfId="0" applyFont="1" applyFill="1" applyBorder="1" applyAlignment="1" applyProtection="1">
      <alignment horizontal="center" vertical="center"/>
      <protection hidden="1"/>
    </xf>
    <xf numFmtId="0" fontId="13" fillId="7" borderId="17" xfId="0" applyFont="1" applyFill="1" applyBorder="1" applyAlignment="1" applyProtection="1">
      <alignment horizontal="centerContinuous" vertical="center"/>
      <protection hidden="1"/>
    </xf>
    <xf numFmtId="0" fontId="0" fillId="7" borderId="18" xfId="0" applyFill="1" applyBorder="1" applyAlignment="1" applyProtection="1">
      <alignment horizontal="centerContinuous" vertical="center"/>
      <protection hidden="1"/>
    </xf>
    <xf numFmtId="0" fontId="0" fillId="7" borderId="54" xfId="0" applyFill="1" applyBorder="1" applyAlignment="1" applyProtection="1">
      <alignment horizontal="centerContinuous" vertical="center"/>
      <protection hidden="1"/>
    </xf>
    <xf numFmtId="0" fontId="0" fillId="7" borderId="37" xfId="0" applyFill="1" applyBorder="1" applyAlignment="1" applyProtection="1">
      <alignment horizontal="centerContinuous" vertical="center"/>
      <protection hidden="1"/>
    </xf>
    <xf numFmtId="0" fontId="0" fillId="7" borderId="55" xfId="0" applyFill="1" applyBorder="1" applyAlignment="1" applyProtection="1">
      <alignment horizontal="centerContinuous" vertical="center"/>
      <protection hidden="1"/>
    </xf>
    <xf numFmtId="0" fontId="0" fillId="7" borderId="56" xfId="0" applyFill="1" applyBorder="1" applyAlignment="1" applyProtection="1">
      <alignment horizontal="centerContinuous" vertical="center"/>
      <protection hidden="1"/>
    </xf>
    <xf numFmtId="0" fontId="0" fillId="0" borderId="57" xfId="0" applyBorder="1" applyAlignment="1" applyProtection="1">
      <alignment vertical="center"/>
      <protection hidden="1"/>
    </xf>
    <xf numFmtId="1" fontId="14" fillId="3" borderId="26" xfId="0" applyNumberFormat="1" applyFont="1" applyFill="1" applyBorder="1" applyAlignment="1" applyProtection="1">
      <alignment horizontal="center" vertical="center"/>
      <protection hidden="1"/>
    </xf>
    <xf numFmtId="0" fontId="13" fillId="7" borderId="25" xfId="0" applyFont="1" applyFill="1" applyBorder="1" applyAlignment="1" applyProtection="1">
      <alignment horizontal="centerContinuous" vertical="center"/>
      <protection hidden="1"/>
    </xf>
    <xf numFmtId="1" fontId="13" fillId="3" borderId="25" xfId="0" applyNumberFormat="1" applyFont="1" applyFill="1" applyBorder="1" applyAlignment="1" applyProtection="1">
      <alignment horizontal="center" vertical="center"/>
      <protection hidden="1"/>
    </xf>
    <xf numFmtId="0" fontId="13" fillId="7" borderId="23" xfId="0" applyFont="1" applyFill="1" applyBorder="1" applyAlignment="1" applyProtection="1">
      <alignment horizontal="centerContinuous" vertical="center"/>
      <protection hidden="1"/>
    </xf>
    <xf numFmtId="9" fontId="18" fillId="13" borderId="27" xfId="1" applyFont="1" applyFill="1" applyBorder="1" applyAlignment="1" applyProtection="1">
      <alignment horizontal="center" vertical="center"/>
      <protection hidden="1"/>
    </xf>
    <xf numFmtId="9" fontId="18" fillId="13" borderId="28" xfId="1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vertical="center"/>
      <protection hidden="1"/>
    </xf>
    <xf numFmtId="0" fontId="0" fillId="0" borderId="58" xfId="0" applyBorder="1" applyAlignment="1" applyProtection="1">
      <alignment vertical="center"/>
      <protection hidden="1"/>
    </xf>
    <xf numFmtId="2" fontId="5" fillId="3" borderId="1" xfId="0" applyNumberFormat="1" applyFont="1" applyFill="1" applyBorder="1" applyAlignment="1" applyProtection="1">
      <alignment horizontal="center" vertical="center"/>
      <protection hidden="1"/>
    </xf>
    <xf numFmtId="0" fontId="14" fillId="8" borderId="48" xfId="0" applyFont="1" applyFill="1" applyBorder="1" applyAlignment="1" applyProtection="1">
      <alignment horizontal="center" vertical="center"/>
      <protection hidden="1"/>
    </xf>
    <xf numFmtId="0" fontId="15" fillId="0" borderId="59" xfId="0" applyFont="1" applyBorder="1" applyAlignment="1" applyProtection="1">
      <alignment vertical="center"/>
      <protection hidden="1"/>
    </xf>
    <xf numFmtId="0" fontId="15" fillId="0" borderId="34" xfId="0" applyFont="1" applyBorder="1" applyAlignment="1" applyProtection="1">
      <alignment vertical="center"/>
      <protection hidden="1"/>
    </xf>
    <xf numFmtId="0" fontId="15" fillId="0" borderId="35" xfId="0" applyFont="1" applyBorder="1" applyAlignment="1" applyProtection="1">
      <alignment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2" fontId="5" fillId="8" borderId="1" xfId="0" applyNumberFormat="1" applyFont="1" applyFill="1" applyBorder="1" applyAlignment="1" applyProtection="1">
      <alignment horizontal="center" vertical="center"/>
      <protection hidden="1"/>
    </xf>
    <xf numFmtId="0" fontId="18" fillId="2" borderId="45" xfId="0" applyFont="1" applyFill="1" applyBorder="1" applyAlignment="1" applyProtection="1">
      <alignment horizontal="center" vertical="center"/>
      <protection hidden="1"/>
    </xf>
    <xf numFmtId="0" fontId="18" fillId="2" borderId="46" xfId="0" applyFont="1" applyFill="1" applyBorder="1" applyAlignment="1" applyProtection="1">
      <alignment horizontal="center" vertical="center"/>
      <protection hidden="1"/>
    </xf>
    <xf numFmtId="0" fontId="2" fillId="0" borderId="46" xfId="0" applyFont="1" applyBorder="1" applyAlignment="1" applyProtection="1">
      <alignment horizontal="center" vertical="center"/>
      <protection hidden="1"/>
    </xf>
    <xf numFmtId="0" fontId="0" fillId="16" borderId="47" xfId="0" applyFont="1" applyFill="1" applyBorder="1" applyAlignment="1" applyProtection="1">
      <alignment horizontal="center" vertical="center"/>
      <protection hidden="1"/>
    </xf>
    <xf numFmtId="0" fontId="18" fillId="22" borderId="45" xfId="0" applyFont="1" applyFill="1" applyBorder="1" applyAlignment="1" applyProtection="1">
      <alignment horizontal="center" vertical="center"/>
      <protection hidden="1"/>
    </xf>
    <xf numFmtId="0" fontId="18" fillId="22" borderId="46" xfId="0" applyFont="1" applyFill="1" applyBorder="1" applyAlignment="1" applyProtection="1">
      <alignment horizontal="center" vertical="center"/>
      <protection hidden="1"/>
    </xf>
    <xf numFmtId="0" fontId="0" fillId="27" borderId="46" xfId="0" applyFont="1" applyFill="1" applyBorder="1" applyAlignment="1" applyProtection="1">
      <alignment vertical="center"/>
      <protection hidden="1"/>
    </xf>
    <xf numFmtId="0" fontId="0" fillId="27" borderId="47" xfId="0" applyFont="1" applyFill="1" applyBorder="1" applyAlignment="1" applyProtection="1">
      <alignment vertical="center"/>
      <protection hidden="1"/>
    </xf>
    <xf numFmtId="0" fontId="18" fillId="0" borderId="46" xfId="0" applyFont="1" applyFill="1" applyBorder="1" applyAlignment="1" applyProtection="1">
      <alignment vertical="center"/>
      <protection hidden="1"/>
    </xf>
    <xf numFmtId="0" fontId="25" fillId="8" borderId="16" xfId="0" applyFont="1" applyFill="1" applyBorder="1" applyAlignment="1" applyProtection="1">
      <alignment horizontal="center" vertical="center"/>
      <protection hidden="1"/>
    </xf>
    <xf numFmtId="0" fontId="15" fillId="11" borderId="61" xfId="0" applyFont="1" applyFill="1" applyBorder="1" applyAlignment="1" applyProtection="1">
      <alignment horizontal="center" vertical="center"/>
      <protection hidden="1"/>
    </xf>
    <xf numFmtId="0" fontId="36" fillId="0" borderId="1" xfId="0" applyFont="1" applyBorder="1" applyAlignment="1" applyProtection="1">
      <alignment vertical="center" wrapText="1"/>
      <protection hidden="1"/>
    </xf>
    <xf numFmtId="0" fontId="37" fillId="0" borderId="1" xfId="0" applyFont="1" applyBorder="1" applyAlignment="1" applyProtection="1">
      <alignment vertical="center"/>
      <protection hidden="1"/>
    </xf>
    <xf numFmtId="1" fontId="36" fillId="5" borderId="1" xfId="0" applyNumberFormat="1" applyFont="1" applyFill="1" applyBorder="1" applyAlignment="1" applyProtection="1">
      <alignment vertical="center"/>
      <protection hidden="1"/>
    </xf>
    <xf numFmtId="0" fontId="37" fillId="0" borderId="1" xfId="0" quotePrefix="1" applyFont="1" applyBorder="1" applyAlignment="1" applyProtection="1">
      <alignment horizontal="center" vertical="center"/>
      <protection hidden="1"/>
    </xf>
    <xf numFmtId="0" fontId="37" fillId="10" borderId="1" xfId="0" applyFont="1" applyFill="1" applyBorder="1" applyAlignment="1" applyProtection="1">
      <alignment vertical="center"/>
      <protection hidden="1"/>
    </xf>
    <xf numFmtId="0" fontId="37" fillId="11" borderId="1" xfId="0" quotePrefix="1" applyFont="1" applyFill="1" applyBorder="1" applyAlignment="1" applyProtection="1">
      <alignment horizontal="center" vertical="center"/>
      <protection hidden="1"/>
    </xf>
    <xf numFmtId="0" fontId="37" fillId="11" borderId="1" xfId="0" applyFont="1" applyFill="1" applyBorder="1" applyAlignment="1" applyProtection="1">
      <alignment vertical="center"/>
      <protection hidden="1"/>
    </xf>
    <xf numFmtId="0" fontId="37" fillId="12" borderId="1" xfId="0" quotePrefix="1" applyFont="1" applyFill="1" applyBorder="1" applyAlignment="1" applyProtection="1">
      <alignment horizontal="center" vertical="center"/>
      <protection hidden="1"/>
    </xf>
    <xf numFmtId="0" fontId="37" fillId="12" borderId="1" xfId="0" applyFont="1" applyFill="1" applyBorder="1" applyAlignment="1" applyProtection="1">
      <alignment vertical="center"/>
      <protection hidden="1"/>
    </xf>
    <xf numFmtId="0" fontId="37" fillId="18" borderId="1" xfId="0" quotePrefix="1" applyFont="1" applyFill="1" applyBorder="1" applyAlignment="1" applyProtection="1">
      <alignment horizontal="center" vertical="center"/>
      <protection hidden="1"/>
    </xf>
    <xf numFmtId="0" fontId="37" fillId="18" borderId="1" xfId="0" applyFont="1" applyFill="1" applyBorder="1" applyAlignment="1" applyProtection="1">
      <alignment vertical="center"/>
      <protection hidden="1"/>
    </xf>
    <xf numFmtId="0" fontId="37" fillId="22" borderId="1" xfId="0" quotePrefix="1" applyFont="1" applyFill="1" applyBorder="1" applyAlignment="1" applyProtection="1">
      <alignment horizontal="center" vertical="center"/>
      <protection hidden="1"/>
    </xf>
    <xf numFmtId="0" fontId="37" fillId="22" borderId="1" xfId="0" applyFont="1" applyFill="1" applyBorder="1" applyAlignment="1" applyProtection="1">
      <alignment vertical="center"/>
      <protection hidden="1"/>
    </xf>
    <xf numFmtId="0" fontId="37" fillId="22" borderId="1" xfId="0" applyFont="1" applyFill="1" applyBorder="1" applyAlignment="1" applyProtection="1">
      <alignment horizontal="left" vertical="center"/>
      <protection hidden="1"/>
    </xf>
    <xf numFmtId="0" fontId="37" fillId="3" borderId="1" xfId="0" applyFont="1" applyFill="1" applyBorder="1" applyAlignment="1" applyProtection="1">
      <alignment vertical="center"/>
      <protection hidden="1"/>
    </xf>
    <xf numFmtId="0" fontId="37" fillId="3" borderId="1" xfId="0" quotePrefix="1" applyFont="1" applyFill="1" applyBorder="1" applyAlignment="1" applyProtection="1">
      <alignment horizontal="center" vertical="center"/>
      <protection hidden="1"/>
    </xf>
    <xf numFmtId="9" fontId="37" fillId="3" borderId="1" xfId="0" applyNumberFormat="1" applyFont="1" applyFill="1" applyBorder="1" applyAlignment="1" applyProtection="1">
      <alignment vertical="center"/>
      <protection hidden="1"/>
    </xf>
    <xf numFmtId="0" fontId="0" fillId="5" borderId="17" xfId="0" applyFill="1" applyBorder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0" fillId="5" borderId="20" xfId="0" applyFill="1" applyBorder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0" fontId="0" fillId="5" borderId="21" xfId="0" applyFill="1" applyBorder="1" applyAlignment="1" applyProtection="1">
      <alignment vertical="center"/>
      <protection hidden="1"/>
    </xf>
    <xf numFmtId="0" fontId="0" fillId="5" borderId="39" xfId="0" applyFill="1" applyBorder="1" applyAlignment="1" applyProtection="1">
      <alignment vertical="center"/>
      <protection hidden="1"/>
    </xf>
    <xf numFmtId="0" fontId="0" fillId="5" borderId="30" xfId="0" applyFill="1" applyBorder="1" applyAlignment="1" applyProtection="1">
      <alignment vertical="center"/>
      <protection hidden="1"/>
    </xf>
    <xf numFmtId="0" fontId="35" fillId="0" borderId="43" xfId="0" applyFont="1" applyBorder="1" applyAlignment="1">
      <alignment horizontal="centerContinuous" vertical="center"/>
    </xf>
    <xf numFmtId="0" fontId="35" fillId="0" borderId="41" xfId="0" applyFont="1" applyBorder="1" applyAlignment="1">
      <alignment horizontal="centerContinuous" vertical="center"/>
    </xf>
    <xf numFmtId="0" fontId="0" fillId="0" borderId="41" xfId="0" applyBorder="1" applyAlignment="1">
      <alignment horizontal="centerContinuous" vertical="center"/>
    </xf>
    <xf numFmtId="0" fontId="0" fillId="0" borderId="43" xfId="0" applyBorder="1" applyAlignment="1">
      <alignment horizontal="centerContinuous" vertical="center"/>
    </xf>
    <xf numFmtId="0" fontId="35" fillId="9" borderId="19" xfId="0" applyFont="1" applyFill="1" applyBorder="1" applyAlignment="1">
      <alignment horizontal="centerContinuous" vertical="center"/>
    </xf>
    <xf numFmtId="0" fontId="0" fillId="9" borderId="19" xfId="0" applyFill="1" applyBorder="1" applyAlignment="1">
      <alignment horizontal="centerContinuous" vertical="center"/>
    </xf>
    <xf numFmtId="9" fontId="38" fillId="9" borderId="17" xfId="1" applyFont="1" applyFill="1" applyBorder="1" applyAlignment="1" applyProtection="1">
      <alignment horizontal="centerContinuous" vertical="center"/>
      <protection hidden="1"/>
    </xf>
    <xf numFmtId="9" fontId="39" fillId="9" borderId="17" xfId="1" applyFont="1" applyFill="1" applyBorder="1" applyAlignment="1" applyProtection="1">
      <alignment horizontal="centerContinuous" vertical="center"/>
      <protection hidden="1"/>
    </xf>
    <xf numFmtId="0" fontId="33" fillId="0" borderId="41" xfId="0" applyFont="1" applyBorder="1" applyAlignment="1" applyProtection="1">
      <alignment horizontal="centerContinuous" vertical="center"/>
      <protection hidden="1"/>
    </xf>
    <xf numFmtId="0" fontId="34" fillId="0" borderId="43" xfId="0" applyFont="1" applyBorder="1" applyAlignment="1">
      <alignment horizontal="centerContinuous" vertical="center"/>
    </xf>
    <xf numFmtId="0" fontId="31" fillId="0" borderId="41" xfId="0" applyFont="1" applyBorder="1" applyAlignment="1" applyProtection="1">
      <alignment horizontal="centerContinuous" vertical="center"/>
      <protection hidden="1"/>
    </xf>
    <xf numFmtId="0" fontId="32" fillId="0" borderId="43" xfId="0" applyFont="1" applyBorder="1" applyAlignment="1">
      <alignment horizontal="centerContinuous" vertical="center"/>
    </xf>
    <xf numFmtId="167" fontId="7" fillId="2" borderId="1" xfId="0" applyNumberFormat="1" applyFont="1" applyFill="1" applyBorder="1" applyAlignment="1">
      <alignment horizontal="center"/>
    </xf>
    <xf numFmtId="167" fontId="7" fillId="5" borderId="1" xfId="0" applyNumberFormat="1" applyFont="1" applyFill="1" applyBorder="1" applyAlignment="1">
      <alignment horizontal="center"/>
    </xf>
    <xf numFmtId="0" fontId="41" fillId="26" borderId="60" xfId="0" applyFont="1" applyFill="1" applyBorder="1" applyAlignment="1" applyProtection="1">
      <alignment vertical="center"/>
      <protection hidden="1"/>
    </xf>
    <xf numFmtId="0" fontId="25" fillId="14" borderId="47" xfId="0" applyFont="1" applyFill="1" applyBorder="1" applyAlignment="1" applyProtection="1">
      <alignment horizontal="center" vertical="center"/>
      <protection hidden="1"/>
    </xf>
    <xf numFmtId="170" fontId="13" fillId="7" borderId="6" xfId="0" applyNumberFormat="1" applyFont="1" applyFill="1" applyBorder="1" applyAlignment="1" applyProtection="1">
      <alignment horizontal="center" vertical="center"/>
      <protection hidden="1"/>
    </xf>
    <xf numFmtId="170" fontId="13" fillId="7" borderId="12" xfId="0" applyNumberFormat="1" applyFont="1" applyFill="1" applyBorder="1" applyAlignment="1" applyProtection="1">
      <alignment horizontal="center" vertical="center"/>
      <protection hidden="1"/>
    </xf>
    <xf numFmtId="0" fontId="16" fillId="27" borderId="41" xfId="0" applyFont="1" applyFill="1" applyBorder="1" applyAlignment="1" applyProtection="1">
      <alignment vertical="center"/>
      <protection hidden="1"/>
    </xf>
    <xf numFmtId="0" fontId="20" fillId="27" borderId="42" xfId="0" applyFont="1" applyFill="1" applyBorder="1" applyAlignment="1" applyProtection="1">
      <alignment vertical="center"/>
      <protection hidden="1"/>
    </xf>
    <xf numFmtId="0" fontId="0" fillId="7" borderId="41" xfId="0" applyFill="1" applyBorder="1" applyAlignment="1" applyProtection="1">
      <alignment vertical="center"/>
      <protection hidden="1"/>
    </xf>
    <xf numFmtId="0" fontId="0" fillId="7" borderId="42" xfId="0" applyFill="1" applyBorder="1" applyAlignment="1" applyProtection="1">
      <alignment vertical="center"/>
      <protection hidden="1"/>
    </xf>
    <xf numFmtId="1" fontId="12" fillId="11" borderId="46" xfId="0" applyNumberFormat="1" applyFont="1" applyFill="1" applyBorder="1" applyAlignment="1" applyProtection="1">
      <alignment horizontal="center" vertical="center"/>
      <protection hidden="1"/>
    </xf>
    <xf numFmtId="0" fontId="0" fillId="7" borderId="46" xfId="0" applyFill="1" applyBorder="1" applyAlignment="1" applyProtection="1">
      <alignment vertical="center"/>
      <protection hidden="1"/>
    </xf>
    <xf numFmtId="0" fontId="13" fillId="7" borderId="46" xfId="0" applyFont="1" applyFill="1" applyBorder="1" applyAlignment="1" applyProtection="1">
      <alignment horizontal="center" vertical="center"/>
      <protection hidden="1"/>
    </xf>
    <xf numFmtId="170" fontId="13" fillId="7" borderId="46" xfId="0" applyNumberFormat="1" applyFont="1" applyFill="1" applyBorder="1" applyAlignment="1" applyProtection="1">
      <alignment horizontal="center" vertical="center"/>
      <protection hidden="1"/>
    </xf>
    <xf numFmtId="170" fontId="13" fillId="7" borderId="47" xfId="0" applyNumberFormat="1" applyFont="1" applyFill="1" applyBorder="1" applyAlignment="1" applyProtection="1">
      <alignment horizontal="center" vertical="center"/>
      <protection hidden="1"/>
    </xf>
    <xf numFmtId="0" fontId="0" fillId="0" borderId="41" xfId="0" applyBorder="1" applyAlignment="1" applyProtection="1">
      <alignment vertical="center"/>
      <protection hidden="1"/>
    </xf>
    <xf numFmtId="0" fontId="25" fillId="14" borderId="45" xfId="0" applyFont="1" applyFill="1" applyBorder="1" applyAlignment="1" applyProtection="1">
      <alignment vertical="center"/>
      <protection hidden="1"/>
    </xf>
    <xf numFmtId="0" fontId="29" fillId="0" borderId="39" xfId="0" applyFont="1" applyBorder="1" applyAlignment="1" applyProtection="1">
      <alignment vertical="center"/>
      <protection hidden="1"/>
    </xf>
    <xf numFmtId="0" fontId="0" fillId="0" borderId="62" xfId="0" applyBorder="1" applyAlignment="1" applyProtection="1">
      <alignment vertical="center"/>
      <protection hidden="1"/>
    </xf>
    <xf numFmtId="0" fontId="2" fillId="7" borderId="26" xfId="0" applyFont="1" applyFill="1" applyBorder="1" applyAlignment="1" applyProtection="1">
      <alignment horizontal="center" vertical="center"/>
      <protection hidden="1"/>
    </xf>
    <xf numFmtId="9" fontId="13" fillId="7" borderId="2" xfId="0" applyNumberFormat="1" applyFont="1" applyFill="1" applyBorder="1" applyAlignment="1" applyProtection="1">
      <alignment horizontal="center" vertical="center"/>
      <protection hidden="1"/>
    </xf>
    <xf numFmtId="1" fontId="13" fillId="7" borderId="2" xfId="0" applyNumberFormat="1" applyFont="1" applyFill="1" applyBorder="1" applyAlignment="1" applyProtection="1">
      <alignment horizontal="center" vertical="center"/>
      <protection hidden="1"/>
    </xf>
    <xf numFmtId="170" fontId="2" fillId="7" borderId="2" xfId="0" applyNumberFormat="1" applyFont="1" applyFill="1" applyBorder="1" applyAlignment="1" applyProtection="1">
      <alignment horizontal="center" vertical="center"/>
      <protection hidden="1"/>
    </xf>
    <xf numFmtId="170" fontId="13" fillId="7" borderId="2" xfId="0" applyNumberFormat="1" applyFont="1" applyFill="1" applyBorder="1" applyAlignment="1" applyProtection="1">
      <alignment horizontal="center" vertical="center"/>
      <protection hidden="1"/>
    </xf>
    <xf numFmtId="170" fontId="13" fillId="7" borderId="3" xfId="0" applyNumberFormat="1" applyFont="1" applyFill="1" applyBorder="1" applyAlignment="1" applyProtection="1">
      <alignment horizontal="center" vertical="center"/>
      <protection hidden="1"/>
    </xf>
    <xf numFmtId="0" fontId="0" fillId="27" borderId="46" xfId="0" applyFill="1" applyBorder="1" applyAlignment="1" applyProtection="1">
      <alignment horizontal="center" vertical="center"/>
      <protection hidden="1"/>
    </xf>
    <xf numFmtId="0" fontId="0" fillId="27" borderId="46" xfId="0" applyFill="1" applyBorder="1" applyAlignment="1" applyProtection="1">
      <alignment vertical="center"/>
      <protection hidden="1"/>
    </xf>
    <xf numFmtId="0" fontId="42" fillId="9" borderId="42" xfId="0" applyFont="1" applyFill="1" applyBorder="1" applyAlignment="1" applyProtection="1">
      <alignment vertical="center"/>
      <protection hidden="1"/>
    </xf>
    <xf numFmtId="0" fontId="43" fillId="27" borderId="2" xfId="0" applyFont="1" applyFill="1" applyBorder="1" applyAlignment="1" applyProtection="1">
      <alignment horizontal="center" vertical="center"/>
      <protection hidden="1"/>
    </xf>
    <xf numFmtId="0" fontId="20" fillId="27" borderId="46" xfId="0" applyFont="1" applyFill="1" applyBorder="1" applyAlignment="1" applyProtection="1">
      <alignment vertical="center"/>
      <protection hidden="1"/>
    </xf>
    <xf numFmtId="0" fontId="43" fillId="27" borderId="46" xfId="0" applyFont="1" applyFill="1" applyBorder="1" applyAlignment="1" applyProtection="1">
      <alignment horizontal="left" vertical="center"/>
      <protection hidden="1"/>
    </xf>
    <xf numFmtId="0" fontId="43" fillId="27" borderId="46" xfId="0" applyFont="1" applyFill="1" applyBorder="1" applyAlignment="1" applyProtection="1">
      <alignment horizontal="center" vertical="center"/>
      <protection hidden="1"/>
    </xf>
    <xf numFmtId="0" fontId="4" fillId="2" borderId="1" xfId="0" applyFont="1" applyFill="1" applyBorder="1" applyAlignment="1">
      <alignment horizontal="left"/>
    </xf>
    <xf numFmtId="0" fontId="0" fillId="0" borderId="13" xfId="0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/>
      <protection hidden="1"/>
    </xf>
    <xf numFmtId="0" fontId="26" fillId="19" borderId="1" xfId="0" applyFont="1" applyFill="1" applyBorder="1" applyAlignment="1" applyProtection="1">
      <alignment vertical="center"/>
      <protection hidden="1"/>
    </xf>
    <xf numFmtId="170" fontId="26" fillId="19" borderId="1" xfId="0" applyNumberFormat="1" applyFont="1" applyFill="1" applyBorder="1" applyAlignment="1" applyProtection="1">
      <alignment horizontal="center" vertical="center"/>
      <protection hidden="1"/>
    </xf>
    <xf numFmtId="0" fontId="14" fillId="19" borderId="1" xfId="0" quotePrefix="1" applyFont="1" applyFill="1" applyBorder="1" applyAlignment="1" applyProtection="1">
      <alignment horizontal="center" vertical="center"/>
      <protection hidden="1"/>
    </xf>
    <xf numFmtId="0" fontId="14" fillId="19" borderId="1" xfId="0" applyFont="1" applyFill="1" applyBorder="1" applyAlignment="1" applyProtection="1">
      <alignment vertical="center"/>
      <protection hidden="1"/>
    </xf>
    <xf numFmtId="0" fontId="44" fillId="0" borderId="15" xfId="0" applyFont="1" applyBorder="1" applyAlignment="1" applyProtection="1">
      <alignment vertical="center"/>
      <protection hidden="1"/>
    </xf>
    <xf numFmtId="0" fontId="44" fillId="0" borderId="0" xfId="0" applyFont="1" applyBorder="1" applyAlignment="1" applyProtection="1">
      <alignment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1" xfId="0" applyFont="1" applyBorder="1" applyAlignment="1" applyProtection="1">
      <alignment vertical="center"/>
      <protection hidden="1"/>
    </xf>
    <xf numFmtId="0" fontId="14" fillId="0" borderId="13" xfId="0" applyFont="1" applyBorder="1" applyAlignment="1" applyProtection="1">
      <alignment vertical="center"/>
      <protection hidden="1"/>
    </xf>
    <xf numFmtId="0" fontId="14" fillId="0" borderId="9" xfId="0" applyFont="1" applyBorder="1" applyAlignment="1" applyProtection="1">
      <alignment vertical="center"/>
      <protection hidden="1"/>
    </xf>
    <xf numFmtId="0" fontId="14" fillId="0" borderId="11" xfId="0" applyFont="1" applyBorder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26" fillId="19" borderId="1" xfId="0" applyFont="1" applyFill="1" applyBorder="1" applyAlignment="1" applyProtection="1">
      <alignment horizontal="center" vertical="center"/>
      <protection hidden="1"/>
    </xf>
    <xf numFmtId="2" fontId="4" fillId="19" borderId="1" xfId="0" applyNumberFormat="1" applyFont="1" applyFill="1" applyBorder="1" applyAlignment="1" applyProtection="1">
      <alignment horizontal="center" vertical="center"/>
      <protection hidden="1"/>
    </xf>
    <xf numFmtId="1" fontId="45" fillId="9" borderId="46" xfId="0" applyNumberFormat="1" applyFont="1" applyFill="1" applyBorder="1" applyAlignment="1" applyProtection="1">
      <alignment horizontal="center" vertical="center"/>
      <protection hidden="1"/>
    </xf>
    <xf numFmtId="1" fontId="45" fillId="27" borderId="46" xfId="0" applyNumberFormat="1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9" fontId="43" fillId="8" borderId="47" xfId="0" applyNumberFormat="1" applyFont="1" applyFill="1" applyBorder="1" applyAlignment="1" applyProtection="1">
      <alignment horizontal="center" vertical="center"/>
      <protection hidden="1"/>
    </xf>
    <xf numFmtId="9" fontId="43" fillId="8" borderId="6" xfId="0" applyNumberFormat="1" applyFont="1" applyFill="1" applyBorder="1" applyAlignment="1" applyProtection="1">
      <alignment horizontal="center" vertical="center"/>
      <protection hidden="1"/>
    </xf>
    <xf numFmtId="9" fontId="43" fillId="8" borderId="12" xfId="0" applyNumberFormat="1" applyFont="1" applyFill="1" applyBorder="1" applyAlignment="1" applyProtection="1">
      <alignment horizontal="center" vertical="center"/>
      <protection hidden="1"/>
    </xf>
    <xf numFmtId="9" fontId="43" fillId="8" borderId="3" xfId="0" applyNumberFormat="1" applyFont="1" applyFill="1" applyBorder="1" applyAlignment="1" applyProtection="1">
      <alignment horizontal="center" vertical="center"/>
      <protection hidden="1"/>
    </xf>
    <xf numFmtId="0" fontId="44" fillId="0" borderId="10" xfId="0" applyFont="1" applyBorder="1" applyAlignment="1" applyProtection="1">
      <alignment vertical="center"/>
      <protection hidden="1"/>
    </xf>
    <xf numFmtId="0" fontId="14" fillId="0" borderId="10" xfId="0" applyFont="1" applyBorder="1" applyAlignment="1" applyProtection="1">
      <alignment vertical="center"/>
      <protection hidden="1"/>
    </xf>
    <xf numFmtId="0" fontId="0" fillId="16" borderId="1" xfId="0" applyFill="1" applyBorder="1" applyAlignment="1" applyProtection="1">
      <alignment horizontal="center" vertical="center"/>
      <protection hidden="1"/>
    </xf>
    <xf numFmtId="0" fontId="2" fillId="28" borderId="1" xfId="0" applyFont="1" applyFill="1" applyBorder="1" applyAlignment="1" applyProtection="1">
      <alignment vertical="center"/>
      <protection hidden="1"/>
    </xf>
    <xf numFmtId="0" fontId="26" fillId="28" borderId="1" xfId="0" applyFont="1" applyFill="1" applyBorder="1" applyAlignment="1" applyProtection="1">
      <alignment horizontal="center" vertical="center"/>
      <protection hidden="1"/>
    </xf>
    <xf numFmtId="2" fontId="4" fillId="28" borderId="1" xfId="0" applyNumberFormat="1" applyFont="1" applyFill="1" applyBorder="1" applyAlignment="1" applyProtection="1">
      <alignment horizontal="center" vertical="center"/>
      <protection hidden="1"/>
    </xf>
    <xf numFmtId="170" fontId="26" fillId="28" borderId="1" xfId="0" applyNumberFormat="1" applyFont="1" applyFill="1" applyBorder="1" applyAlignment="1" applyProtection="1">
      <alignment horizontal="center" vertical="center"/>
      <protection hidden="1"/>
    </xf>
    <xf numFmtId="0" fontId="0" fillId="28" borderId="1" xfId="0" applyFill="1" applyBorder="1" applyAlignment="1" applyProtection="1">
      <alignment vertical="center"/>
      <protection hidden="1"/>
    </xf>
    <xf numFmtId="0" fontId="2" fillId="14" borderId="41" xfId="0" applyFont="1" applyFill="1" applyBorder="1" applyAlignment="1" applyProtection="1">
      <alignment vertical="center"/>
      <protection hidden="1"/>
    </xf>
    <xf numFmtId="0" fontId="18" fillId="9" borderId="45" xfId="0" applyFont="1" applyFill="1" applyBorder="1" applyAlignment="1" applyProtection="1">
      <alignment horizontal="center" vertical="center"/>
      <protection hidden="1"/>
    </xf>
    <xf numFmtId="0" fontId="18" fillId="9" borderId="46" xfId="0" applyFont="1" applyFill="1" applyBorder="1" applyAlignment="1" applyProtection="1">
      <alignment horizontal="center" vertical="center"/>
      <protection hidden="1"/>
    </xf>
    <xf numFmtId="0" fontId="2" fillId="18" borderId="46" xfId="0" applyFont="1" applyFill="1" applyBorder="1" applyAlignment="1" applyProtection="1">
      <alignment horizontal="center" vertical="center"/>
      <protection hidden="1"/>
    </xf>
    <xf numFmtId="0" fontId="0" fillId="9" borderId="46" xfId="0" applyFont="1" applyFill="1" applyBorder="1" applyAlignment="1" applyProtection="1">
      <alignment vertical="center"/>
      <protection hidden="1"/>
    </xf>
    <xf numFmtId="0" fontId="43" fillId="9" borderId="46" xfId="0" applyFont="1" applyFill="1" applyBorder="1" applyAlignment="1" applyProtection="1">
      <alignment horizontal="center" vertical="center"/>
      <protection hidden="1"/>
    </xf>
    <xf numFmtId="0" fontId="20" fillId="27" borderId="38" xfId="0" applyFont="1" applyFill="1" applyBorder="1" applyAlignment="1" applyProtection="1">
      <alignment horizontal="center" vertical="center"/>
      <protection hidden="1"/>
    </xf>
    <xf numFmtId="0" fontId="0" fillId="0" borderId="21" xfId="0" applyBorder="1" applyAlignment="1" applyProtection="1">
      <alignment horizontal="center" vertical="center"/>
      <protection hidden="1"/>
    </xf>
    <xf numFmtId="0" fontId="0" fillId="0" borderId="19" xfId="0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44" fillId="0" borderId="11" xfId="0" applyFont="1" applyBorder="1" applyAlignment="1" applyProtection="1">
      <alignment horizontal="center" vertical="center"/>
      <protection hidden="1"/>
    </xf>
    <xf numFmtId="0" fontId="14" fillId="0" borderId="11" xfId="0" applyFont="1" applyBorder="1" applyAlignment="1" applyProtection="1">
      <alignment horizontal="center" vertical="center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25" fillId="8" borderId="47" xfId="0" applyFont="1" applyFill="1" applyBorder="1" applyAlignment="1" applyProtection="1">
      <alignment horizontal="right" vertical="center"/>
      <protection hidden="1"/>
    </xf>
    <xf numFmtId="0" fontId="0" fillId="15" borderId="43" xfId="0" applyFill="1" applyBorder="1" applyAlignment="1" applyProtection="1">
      <alignment horizontal="center" vertical="center"/>
      <protection hidden="1"/>
    </xf>
    <xf numFmtId="0" fontId="42" fillId="29" borderId="48" xfId="0" applyFont="1" applyFill="1" applyBorder="1" applyAlignment="1" applyProtection="1">
      <alignment horizontal="center" vertical="center"/>
      <protection hidden="1"/>
    </xf>
    <xf numFmtId="0" fontId="20" fillId="27" borderId="43" xfId="0" applyFont="1" applyFill="1" applyBorder="1" applyAlignment="1" applyProtection="1">
      <alignment horizontal="center" vertical="center"/>
      <protection hidden="1"/>
    </xf>
    <xf numFmtId="1" fontId="47" fillId="29" borderId="48" xfId="0" applyNumberFormat="1" applyFont="1" applyFill="1" applyBorder="1" applyAlignment="1" applyProtection="1">
      <alignment horizontal="center" vertical="center"/>
      <protection hidden="1"/>
    </xf>
    <xf numFmtId="1" fontId="25" fillId="29" borderId="50" xfId="0" applyNumberFormat="1" applyFont="1" applyFill="1" applyBorder="1" applyAlignment="1" applyProtection="1">
      <alignment horizontal="center" vertical="center"/>
      <protection hidden="1"/>
    </xf>
    <xf numFmtId="1" fontId="25" fillId="29" borderId="24" xfId="0" applyNumberFormat="1" applyFont="1" applyFill="1" applyBorder="1" applyAlignment="1" applyProtection="1">
      <alignment horizontal="center" vertical="center"/>
      <protection hidden="1"/>
    </xf>
    <xf numFmtId="1" fontId="25" fillId="29" borderId="44" xfId="0" applyNumberFormat="1" applyFont="1" applyFill="1" applyBorder="1" applyAlignment="1" applyProtection="1">
      <alignment horizontal="center" vertical="center"/>
      <protection hidden="1"/>
    </xf>
    <xf numFmtId="1" fontId="25" fillId="29" borderId="48" xfId="0" applyNumberFormat="1" applyFont="1" applyFill="1" applyBorder="1" applyAlignment="1" applyProtection="1">
      <alignment horizontal="center" vertical="center"/>
      <protection hidden="1"/>
    </xf>
    <xf numFmtId="171" fontId="11" fillId="21" borderId="41" xfId="2" applyFont="1" applyFill="1" applyBorder="1"/>
    <xf numFmtId="171" fontId="11" fillId="21" borderId="42" xfId="2" applyFont="1" applyFill="1" applyBorder="1"/>
    <xf numFmtId="171" fontId="11" fillId="21" borderId="43" xfId="2" applyFont="1" applyFill="1" applyBorder="1"/>
    <xf numFmtId="0" fontId="0" fillId="0" borderId="63" xfId="0" applyBorder="1" applyAlignment="1" applyProtection="1">
      <alignment vertical="center"/>
      <protection hidden="1"/>
    </xf>
    <xf numFmtId="171" fontId="11" fillId="20" borderId="41" xfId="2" applyFont="1" applyBorder="1"/>
    <xf numFmtId="171" fontId="11" fillId="20" borderId="42" xfId="2" applyFont="1" applyBorder="1"/>
    <xf numFmtId="171" fontId="11" fillId="20" borderId="43" xfId="2" applyFont="1" applyBorder="1"/>
    <xf numFmtId="171" fontId="24" fillId="21" borderId="41" xfId="2" applyFont="1" applyFill="1" applyBorder="1" applyAlignment="1" applyProtection="1">
      <alignment vertical="center"/>
      <protection hidden="1"/>
    </xf>
    <xf numFmtId="171" fontId="11" fillId="21" borderId="42" xfId="2" applyFont="1" applyFill="1" applyBorder="1" applyAlignment="1" applyProtection="1">
      <alignment vertical="center"/>
      <protection hidden="1"/>
    </xf>
    <xf numFmtId="49" fontId="24" fillId="21" borderId="42" xfId="2" applyNumberFormat="1" applyFont="1" applyFill="1" applyBorder="1" applyAlignment="1" applyProtection="1">
      <alignment horizontal="left" vertical="center"/>
      <protection hidden="1"/>
    </xf>
    <xf numFmtId="49" fontId="11" fillId="21" borderId="42" xfId="2" applyNumberFormat="1" applyFont="1" applyFill="1" applyBorder="1" applyAlignment="1" applyProtection="1">
      <alignment vertical="center"/>
      <protection hidden="1"/>
    </xf>
    <xf numFmtId="171" fontId="24" fillId="20" borderId="41" xfId="2" applyFont="1" applyBorder="1" applyAlignment="1" applyProtection="1">
      <alignment vertical="center"/>
      <protection hidden="1"/>
    </xf>
    <xf numFmtId="171" fontId="11" fillId="20" borderId="42" xfId="2" applyFont="1" applyBorder="1" applyAlignment="1" applyProtection="1">
      <alignment vertical="center"/>
      <protection hidden="1"/>
    </xf>
    <xf numFmtId="49" fontId="24" fillId="20" borderId="42" xfId="2" applyNumberFormat="1" applyFont="1" applyBorder="1" applyAlignment="1" applyProtection="1">
      <alignment horizontal="left" vertical="center"/>
      <protection hidden="1"/>
    </xf>
    <xf numFmtId="49" fontId="11" fillId="20" borderId="42" xfId="2" applyNumberFormat="1" applyFont="1" applyBorder="1" applyAlignment="1" applyProtection="1">
      <alignment vertical="center"/>
      <protection hidden="1"/>
    </xf>
    <xf numFmtId="49" fontId="11" fillId="20" borderId="43" xfId="2" applyNumberFormat="1" applyFont="1" applyBorder="1" applyAlignment="1" applyProtection="1">
      <alignment vertical="center"/>
      <protection hidden="1"/>
    </xf>
    <xf numFmtId="49" fontId="24" fillId="21" borderId="43" xfId="2" applyNumberFormat="1" applyFont="1" applyFill="1" applyBorder="1" applyAlignment="1" applyProtection="1">
      <alignment horizontal="left" vertical="center"/>
      <protection hidden="1"/>
    </xf>
    <xf numFmtId="49" fontId="11" fillId="20" borderId="67" xfId="2" applyNumberFormat="1" applyFont="1" applyBorder="1" applyAlignment="1" applyProtection="1">
      <alignment vertical="center"/>
      <protection hidden="1"/>
    </xf>
    <xf numFmtId="171" fontId="11" fillId="20" borderId="67" xfId="2" applyFont="1" applyBorder="1"/>
    <xf numFmtId="49" fontId="24" fillId="20" borderId="42" xfId="2" applyNumberFormat="1" applyFont="1" applyBorder="1" applyAlignment="1" applyProtection="1">
      <alignment vertical="center"/>
      <protection hidden="1"/>
    </xf>
    <xf numFmtId="0" fontId="13" fillId="7" borderId="28" xfId="0" applyFont="1" applyFill="1" applyBorder="1" applyAlignment="1" applyProtection="1">
      <alignment horizontal="center" vertical="center"/>
      <protection hidden="1"/>
    </xf>
    <xf numFmtId="1" fontId="13" fillId="7" borderId="28" xfId="0" applyNumberFormat="1" applyFont="1" applyFill="1" applyBorder="1" applyAlignment="1" applyProtection="1">
      <alignment horizontal="center" vertical="center"/>
      <protection hidden="1"/>
    </xf>
    <xf numFmtId="170" fontId="13" fillId="7" borderId="28" xfId="0" applyNumberFormat="1" applyFont="1" applyFill="1" applyBorder="1" applyAlignment="1" applyProtection="1">
      <alignment horizontal="center" vertical="center"/>
      <protection hidden="1"/>
    </xf>
    <xf numFmtId="170" fontId="13" fillId="7" borderId="68" xfId="0" applyNumberFormat="1" applyFont="1" applyFill="1" applyBorder="1" applyAlignment="1" applyProtection="1">
      <alignment horizontal="center" vertical="center"/>
      <protection hidden="1"/>
    </xf>
    <xf numFmtId="9" fontId="43" fillId="8" borderId="68" xfId="0" applyNumberFormat="1" applyFont="1" applyFill="1" applyBorder="1" applyAlignment="1" applyProtection="1">
      <alignment horizontal="center" vertical="center"/>
      <protection hidden="1"/>
    </xf>
    <xf numFmtId="1" fontId="25" fillId="29" borderId="69" xfId="0" applyNumberFormat="1" applyFont="1" applyFill="1" applyBorder="1" applyAlignment="1" applyProtection="1">
      <alignment horizontal="center" vertical="center"/>
      <protection hidden="1"/>
    </xf>
    <xf numFmtId="0" fontId="3" fillId="30" borderId="33" xfId="0" applyFont="1" applyFill="1" applyBorder="1" applyAlignment="1" applyProtection="1">
      <alignment vertical="center"/>
      <protection hidden="1"/>
    </xf>
    <xf numFmtId="0" fontId="13" fillId="11" borderId="53" xfId="0" applyFont="1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vertical="center"/>
      <protection hidden="1"/>
    </xf>
    <xf numFmtId="0" fontId="13" fillId="0" borderId="1" xfId="0" applyFont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9" fontId="0" fillId="0" borderId="1" xfId="1" applyFont="1" applyBorder="1" applyAlignment="1" applyProtection="1">
      <alignment horizontal="center" vertical="center"/>
      <protection hidden="1"/>
    </xf>
    <xf numFmtId="0" fontId="13" fillId="0" borderId="12" xfId="0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9" fontId="0" fillId="0" borderId="12" xfId="1" applyFont="1" applyBorder="1" applyAlignment="1" applyProtection="1">
      <alignment horizontal="center" vertical="center"/>
      <protection hidden="1"/>
    </xf>
    <xf numFmtId="9" fontId="0" fillId="14" borderId="1" xfId="1" applyFont="1" applyFill="1" applyBorder="1" applyAlignment="1" applyProtection="1">
      <alignment horizontal="center" vertical="center"/>
      <protection hidden="1"/>
    </xf>
    <xf numFmtId="171" fontId="11" fillId="21" borderId="42" xfId="2" applyFont="1" applyFill="1" applyBorder="1" applyAlignment="1">
      <alignment vertical="center"/>
    </xf>
    <xf numFmtId="171" fontId="11" fillId="20" borderId="42" xfId="2" applyFont="1" applyBorder="1" applyAlignment="1">
      <alignment vertical="center"/>
    </xf>
    <xf numFmtId="1" fontId="23" fillId="0" borderId="0" xfId="1" applyNumberFormat="1" applyFont="1" applyFill="1" applyBorder="1" applyAlignment="1" applyProtection="1">
      <alignment horizontal="center" vertical="center"/>
      <protection hidden="1"/>
    </xf>
    <xf numFmtId="9" fontId="15" fillId="26" borderId="23" xfId="0" applyNumberFormat="1" applyFont="1" applyFill="1" applyBorder="1" applyAlignment="1" applyProtection="1">
      <alignment horizontal="center" vertical="center"/>
      <protection hidden="1"/>
    </xf>
    <xf numFmtId="9" fontId="15" fillId="26" borderId="26" xfId="0" applyNumberFormat="1" applyFont="1" applyFill="1" applyBorder="1" applyAlignment="1" applyProtection="1">
      <alignment horizontal="center" vertical="center"/>
      <protection hidden="1"/>
    </xf>
    <xf numFmtId="9" fontId="15" fillId="26" borderId="27" xfId="0" applyNumberFormat="1" applyFont="1" applyFill="1" applyBorder="1" applyAlignment="1" applyProtection="1">
      <alignment horizontal="center" vertical="center"/>
      <protection hidden="1"/>
    </xf>
    <xf numFmtId="0" fontId="13" fillId="0" borderId="39" xfId="0" applyFont="1" applyBorder="1" applyAlignment="1" applyProtection="1">
      <alignment horizontal="center" vertical="center"/>
      <protection hidden="1"/>
    </xf>
    <xf numFmtId="0" fontId="13" fillId="0" borderId="30" xfId="0" applyFont="1" applyBorder="1" applyAlignment="1" applyProtection="1">
      <alignment horizontal="center" vertical="center"/>
      <protection hidden="1"/>
    </xf>
    <xf numFmtId="0" fontId="2" fillId="0" borderId="30" xfId="0" applyFont="1" applyBorder="1" applyAlignment="1" applyProtection="1">
      <alignment vertical="center"/>
      <protection hidden="1"/>
    </xf>
    <xf numFmtId="0" fontId="14" fillId="8" borderId="145" xfId="0" applyFont="1" applyFill="1" applyBorder="1" applyAlignment="1" applyProtection="1">
      <alignment horizontal="center" vertical="center"/>
      <protection hidden="1"/>
    </xf>
    <xf numFmtId="171" fontId="11" fillId="21" borderId="19" xfId="2" applyFont="1" applyFill="1" applyBorder="1" applyAlignment="1" applyProtection="1">
      <alignment vertical="center"/>
      <protection hidden="1"/>
    </xf>
    <xf numFmtId="49" fontId="24" fillId="21" borderId="41" xfId="2" applyNumberFormat="1" applyFont="1" applyFill="1" applyBorder="1" applyAlignment="1" applyProtection="1">
      <alignment horizontal="left" vertical="center"/>
      <protection hidden="1"/>
    </xf>
    <xf numFmtId="171" fontId="11" fillId="21" borderId="31" xfId="2" applyFont="1" applyFill="1" applyBorder="1" applyAlignment="1" applyProtection="1">
      <alignment vertical="center"/>
      <protection hidden="1"/>
    </xf>
    <xf numFmtId="171" fontId="11" fillId="21" borderId="62" xfId="2" applyFont="1" applyFill="1" applyBorder="1" applyAlignment="1" applyProtection="1">
      <alignment vertical="center"/>
      <protection hidden="1"/>
    </xf>
    <xf numFmtId="171" fontId="11" fillId="21" borderId="58" xfId="2" applyFont="1" applyFill="1" applyBorder="1" applyAlignment="1" applyProtection="1">
      <alignment vertical="center"/>
      <protection hidden="1"/>
    </xf>
    <xf numFmtId="0" fontId="16" fillId="25" borderId="19" xfId="0" applyFont="1" applyFill="1" applyBorder="1" applyAlignment="1" applyProtection="1">
      <alignment horizontal="center" vertical="center"/>
      <protection hidden="1"/>
    </xf>
    <xf numFmtId="0" fontId="3" fillId="30" borderId="52" xfId="0" applyFont="1" applyFill="1" applyBorder="1" applyAlignment="1" applyProtection="1">
      <alignment vertical="center"/>
      <protection hidden="1"/>
    </xf>
    <xf numFmtId="0" fontId="21" fillId="27" borderId="29" xfId="0" applyFont="1" applyFill="1" applyBorder="1" applyAlignment="1" applyProtection="1">
      <alignment vertical="center"/>
      <protection hidden="1"/>
    </xf>
    <xf numFmtId="1" fontId="14" fillId="26" borderId="22" xfId="0" applyNumberFormat="1" applyFont="1" applyFill="1" applyBorder="1" applyAlignment="1" applyProtection="1">
      <alignment horizontal="center" vertical="center"/>
      <protection hidden="1"/>
    </xf>
    <xf numFmtId="1" fontId="14" fillId="26" borderId="146" xfId="0" applyNumberFormat="1" applyFont="1" applyFill="1" applyBorder="1" applyAlignment="1" applyProtection="1">
      <alignment horizontal="center" vertical="center"/>
      <protection hidden="1"/>
    </xf>
    <xf numFmtId="9" fontId="15" fillId="26" borderId="49" xfId="0" applyNumberFormat="1" applyFont="1" applyFill="1" applyBorder="1" applyAlignment="1" applyProtection="1">
      <alignment horizontal="center" vertical="center"/>
      <protection hidden="1"/>
    </xf>
    <xf numFmtId="0" fontId="13" fillId="7" borderId="14" xfId="0" applyFont="1" applyFill="1" applyBorder="1" applyAlignment="1" applyProtection="1">
      <alignment horizontal="center" vertical="center"/>
      <protection hidden="1"/>
    </xf>
    <xf numFmtId="0" fontId="18" fillId="29" borderId="48" xfId="0" applyFont="1" applyFill="1" applyBorder="1" applyAlignment="1" applyProtection="1">
      <alignment vertical="center"/>
      <protection hidden="1"/>
    </xf>
    <xf numFmtId="1" fontId="18" fillId="29" borderId="45" xfId="0" applyNumberFormat="1" applyFont="1" applyFill="1" applyBorder="1" applyAlignment="1" applyProtection="1">
      <alignment horizontal="center" vertical="center"/>
      <protection hidden="1"/>
    </xf>
    <xf numFmtId="1" fontId="0" fillId="0" borderId="1" xfId="1" applyNumberFormat="1" applyFont="1" applyBorder="1" applyAlignment="1" applyProtection="1">
      <alignment vertical="center"/>
      <protection hidden="1"/>
    </xf>
    <xf numFmtId="1" fontId="16" fillId="13" borderId="147" xfId="0" applyNumberFormat="1" applyFont="1" applyFill="1" applyBorder="1" applyAlignment="1" applyProtection="1">
      <alignment horizontal="center" vertical="center"/>
      <protection hidden="1"/>
    </xf>
    <xf numFmtId="1" fontId="16" fillId="13" borderId="29" xfId="0" applyNumberFormat="1" applyFont="1" applyFill="1" applyBorder="1" applyAlignment="1" applyProtection="1">
      <alignment horizontal="center" vertical="center"/>
      <protection hidden="1"/>
    </xf>
    <xf numFmtId="1" fontId="16" fillId="27" borderId="145" xfId="0" applyNumberFormat="1" applyFont="1" applyFill="1" applyBorder="1" applyAlignment="1" applyProtection="1">
      <alignment horizontal="center" vertical="center"/>
      <protection hidden="1"/>
    </xf>
    <xf numFmtId="9" fontId="2" fillId="0" borderId="14" xfId="0" applyNumberFormat="1" applyFont="1" applyBorder="1" applyAlignment="1" applyProtection="1">
      <alignment vertical="center" wrapText="1"/>
      <protection hidden="1"/>
    </xf>
    <xf numFmtId="173" fontId="5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14" borderId="148" xfId="0" applyFont="1" applyFill="1" applyBorder="1" applyAlignment="1" applyProtection="1">
      <alignment horizontal="center" vertical="center"/>
      <protection hidden="1"/>
    </xf>
    <xf numFmtId="0" fontId="14" fillId="14" borderId="57" xfId="0" applyFont="1" applyFill="1" applyBorder="1" applyAlignment="1" applyProtection="1">
      <alignment horizontal="center" vertical="center"/>
      <protection hidden="1"/>
    </xf>
    <xf numFmtId="0" fontId="14" fillId="8" borderId="149" xfId="0" applyFont="1" applyFill="1" applyBorder="1" applyAlignment="1" applyProtection="1">
      <alignment horizontal="center" vertical="center"/>
      <protection hidden="1"/>
    </xf>
    <xf numFmtId="2" fontId="18" fillId="29" borderId="45" xfId="0" applyNumberFormat="1" applyFont="1" applyFill="1" applyBorder="1" applyAlignment="1" applyProtection="1">
      <alignment horizontal="center" vertical="center"/>
      <protection hidden="1"/>
    </xf>
    <xf numFmtId="2" fontId="18" fillId="29" borderId="46" xfId="0" applyNumberFormat="1" applyFont="1" applyFill="1" applyBorder="1" applyAlignment="1" applyProtection="1">
      <alignment horizontal="center" vertical="center"/>
      <protection hidden="1"/>
    </xf>
    <xf numFmtId="1" fontId="18" fillId="29" borderId="48" xfId="0" applyNumberFormat="1" applyFont="1" applyFill="1" applyBorder="1" applyAlignment="1" applyProtection="1">
      <alignment vertical="center"/>
      <protection hidden="1"/>
    </xf>
    <xf numFmtId="2" fontId="14" fillId="26" borderId="22" xfId="0" applyNumberFormat="1" applyFont="1" applyFill="1" applyBorder="1" applyAlignment="1" applyProtection="1">
      <alignment horizontal="center" vertical="center"/>
      <protection hidden="1"/>
    </xf>
    <xf numFmtId="1" fontId="12" fillId="12" borderId="46" xfId="1" applyNumberFormat="1" applyFont="1" applyFill="1" applyBorder="1" applyAlignment="1" applyProtection="1">
      <alignment horizontal="center" vertical="center"/>
      <protection hidden="1"/>
    </xf>
    <xf numFmtId="1" fontId="16" fillId="3" borderId="45" xfId="0" applyNumberFormat="1" applyFont="1" applyFill="1" applyBorder="1" applyAlignment="1" applyProtection="1">
      <alignment horizontal="center" vertical="center"/>
      <protection hidden="1"/>
    </xf>
    <xf numFmtId="1" fontId="16" fillId="3" borderId="46" xfId="0" applyNumberFormat="1" applyFont="1" applyFill="1" applyBorder="1" applyAlignment="1" applyProtection="1">
      <alignment horizontal="center" vertical="center"/>
      <protection hidden="1"/>
    </xf>
    <xf numFmtId="1" fontId="16" fillId="3" borderId="48" xfId="0" applyNumberFormat="1" applyFont="1" applyFill="1" applyBorder="1" applyAlignment="1" applyProtection="1">
      <alignment horizontal="center" vertical="center"/>
      <protection hidden="1"/>
    </xf>
    <xf numFmtId="1" fontId="0" fillId="0" borderId="21" xfId="1" applyNumberFormat="1" applyFont="1" applyBorder="1" applyAlignment="1" applyProtection="1">
      <alignment horizontal="center" vertical="center"/>
      <protection hidden="1"/>
    </xf>
    <xf numFmtId="1" fontId="5" fillId="8" borderId="1" xfId="0" applyNumberFormat="1" applyFont="1" applyFill="1" applyBorder="1" applyAlignment="1" applyProtection="1">
      <alignment horizontal="center" vertical="center"/>
      <protection hidden="1"/>
    </xf>
    <xf numFmtId="1" fontId="5" fillId="2" borderId="1" xfId="0" applyNumberFormat="1" applyFont="1" applyFill="1" applyBorder="1" applyAlignment="1" applyProtection="1">
      <alignment vertical="center"/>
      <protection hidden="1"/>
    </xf>
    <xf numFmtId="1" fontId="37" fillId="0" borderId="1" xfId="0" applyNumberFormat="1" applyFont="1" applyBorder="1" applyAlignment="1" applyProtection="1">
      <alignment vertical="center"/>
      <protection hidden="1"/>
    </xf>
    <xf numFmtId="1" fontId="37" fillId="0" borderId="1" xfId="1" applyNumberFormat="1" applyFont="1" applyBorder="1" applyAlignment="1" applyProtection="1">
      <alignment vertical="center"/>
      <protection hidden="1"/>
    </xf>
    <xf numFmtId="0" fontId="31" fillId="31" borderId="43" xfId="0" applyFont="1" applyFill="1" applyBorder="1" applyAlignment="1" applyProtection="1">
      <alignment horizontal="center" vertical="center"/>
      <protection hidden="1"/>
    </xf>
    <xf numFmtId="9" fontId="12" fillId="5" borderId="46" xfId="1" applyFont="1" applyFill="1" applyBorder="1" applyAlignment="1" applyProtection="1">
      <alignment horizontal="center" vertical="center"/>
      <protection hidden="1"/>
    </xf>
    <xf numFmtId="1" fontId="16" fillId="7" borderId="46" xfId="1" applyNumberFormat="1" applyFont="1" applyFill="1" applyBorder="1" applyAlignment="1" applyProtection="1">
      <alignment horizontal="center" vertical="center"/>
      <protection hidden="1"/>
    </xf>
    <xf numFmtId="0" fontId="49" fillId="0" borderId="0" xfId="0" applyFont="1" applyAlignment="1" applyProtection="1">
      <alignment vertical="center"/>
      <protection hidden="1"/>
    </xf>
    <xf numFmtId="0" fontId="49" fillId="0" borderId="30" xfId="0" applyFont="1" applyBorder="1" applyAlignment="1" applyProtection="1">
      <alignment vertical="center"/>
      <protection hidden="1"/>
    </xf>
    <xf numFmtId="49" fontId="51" fillId="20" borderId="42" xfId="2" applyNumberFormat="1" applyFont="1" applyBorder="1" applyAlignment="1" applyProtection="1">
      <alignment horizontal="left" vertical="center"/>
      <protection hidden="1"/>
    </xf>
    <xf numFmtId="49" fontId="52" fillId="20" borderId="42" xfId="2" applyNumberFormat="1" applyFont="1" applyBorder="1" applyAlignment="1" applyProtection="1">
      <alignment vertical="center"/>
      <protection hidden="1"/>
    </xf>
    <xf numFmtId="49" fontId="52" fillId="20" borderId="43" xfId="2" applyNumberFormat="1" applyFont="1" applyBorder="1" applyAlignment="1" applyProtection="1">
      <alignment vertical="center"/>
      <protection hidden="1"/>
    </xf>
    <xf numFmtId="0" fontId="49" fillId="0" borderId="20" xfId="0" applyFont="1" applyBorder="1" applyAlignment="1" applyProtection="1">
      <alignment vertical="center"/>
      <protection hidden="1"/>
    </xf>
    <xf numFmtId="0" fontId="49" fillId="0" borderId="0" xfId="0" applyFont="1" applyBorder="1" applyAlignment="1" applyProtection="1">
      <alignment vertical="center"/>
      <protection hidden="1"/>
    </xf>
    <xf numFmtId="0" fontId="49" fillId="0" borderId="63" xfId="0" applyFont="1" applyBorder="1" applyAlignment="1" applyProtection="1">
      <alignment vertical="center"/>
      <protection hidden="1"/>
    </xf>
    <xf numFmtId="0" fontId="49" fillId="0" borderId="4" xfId="0" applyFont="1" applyBorder="1" applyAlignment="1" applyProtection="1">
      <alignment vertical="center"/>
      <protection hidden="1"/>
    </xf>
    <xf numFmtId="0" fontId="49" fillId="14" borderId="51" xfId="0" applyFont="1" applyFill="1" applyBorder="1" applyAlignment="1" applyProtection="1">
      <alignment vertical="center"/>
      <protection hidden="1"/>
    </xf>
    <xf numFmtId="0" fontId="60" fillId="14" borderId="46" xfId="0" applyFont="1" applyFill="1" applyBorder="1" applyAlignment="1" applyProtection="1">
      <alignment vertical="center"/>
      <protection hidden="1"/>
    </xf>
    <xf numFmtId="0" fontId="49" fillId="14" borderId="46" xfId="0" applyFont="1" applyFill="1" applyBorder="1" applyAlignment="1" applyProtection="1">
      <alignment vertical="center"/>
      <protection hidden="1"/>
    </xf>
    <xf numFmtId="0" fontId="60" fillId="14" borderId="46" xfId="0" applyFont="1" applyFill="1" applyBorder="1" applyAlignment="1" applyProtection="1">
      <alignment horizontal="center" vertical="center"/>
      <protection hidden="1"/>
    </xf>
    <xf numFmtId="0" fontId="60" fillId="14" borderId="47" xfId="0" applyFont="1" applyFill="1" applyBorder="1" applyAlignment="1" applyProtection="1">
      <alignment horizontal="center" vertical="center"/>
      <protection hidden="1"/>
    </xf>
    <xf numFmtId="0" fontId="61" fillId="27" borderId="46" xfId="0" applyFont="1" applyFill="1" applyBorder="1" applyAlignment="1" applyProtection="1">
      <alignment horizontal="left" vertical="center"/>
      <protection hidden="1"/>
    </xf>
    <xf numFmtId="0" fontId="60" fillId="8" borderId="47" xfId="0" applyFont="1" applyFill="1" applyBorder="1" applyAlignment="1" applyProtection="1">
      <alignment horizontal="right" vertical="center"/>
      <protection hidden="1"/>
    </xf>
    <xf numFmtId="0" fontId="49" fillId="0" borderId="21" xfId="0" applyFont="1" applyBorder="1" applyAlignment="1" applyProtection="1">
      <alignment vertical="center"/>
      <protection hidden="1"/>
    </xf>
    <xf numFmtId="0" fontId="49" fillId="0" borderId="42" xfId="0" applyFont="1" applyBorder="1" applyAlignment="1" applyProtection="1">
      <alignment vertical="center"/>
      <protection hidden="1"/>
    </xf>
    <xf numFmtId="0" fontId="49" fillId="0" borderId="0" xfId="0" applyFont="1" applyFill="1" applyBorder="1" applyAlignment="1" applyProtection="1">
      <alignment vertical="center"/>
      <protection hidden="1"/>
    </xf>
    <xf numFmtId="171" fontId="52" fillId="21" borderId="42" xfId="2" applyFont="1" applyFill="1" applyBorder="1" applyAlignment="1" applyProtection="1">
      <alignment vertical="center"/>
      <protection hidden="1"/>
    </xf>
    <xf numFmtId="49" fontId="51" fillId="21" borderId="43" xfId="2" applyNumberFormat="1" applyFont="1" applyFill="1" applyBorder="1" applyAlignment="1" applyProtection="1">
      <alignment horizontal="left" vertical="center"/>
      <protection hidden="1"/>
    </xf>
    <xf numFmtId="49" fontId="51" fillId="21" borderId="42" xfId="2" applyNumberFormat="1" applyFont="1" applyFill="1" applyBorder="1" applyAlignment="1" applyProtection="1">
      <alignment horizontal="left" vertical="center"/>
      <protection hidden="1"/>
    </xf>
    <xf numFmtId="49" fontId="52" fillId="21" borderId="42" xfId="2" applyNumberFormat="1" applyFont="1" applyFill="1" applyBorder="1" applyAlignment="1" applyProtection="1">
      <alignment vertical="center"/>
      <protection hidden="1"/>
    </xf>
    <xf numFmtId="0" fontId="54" fillId="27" borderId="42" xfId="0" applyFont="1" applyFill="1" applyBorder="1" applyAlignment="1" applyProtection="1">
      <alignment vertical="center"/>
      <protection hidden="1"/>
    </xf>
    <xf numFmtId="0" fontId="49" fillId="0" borderId="0" xfId="0" applyFont="1" applyBorder="1" applyAlignment="1" applyProtection="1">
      <alignment horizontal="center" vertical="center"/>
      <protection hidden="1"/>
    </xf>
    <xf numFmtId="0" fontId="76" fillId="15" borderId="88" xfId="0" applyFont="1" applyFill="1" applyBorder="1" applyAlignment="1" applyProtection="1">
      <alignment vertical="center"/>
      <protection hidden="1"/>
    </xf>
    <xf numFmtId="0" fontId="49" fillId="15" borderId="73" xfId="0" applyFont="1" applyFill="1" applyBorder="1" applyAlignment="1" applyProtection="1">
      <alignment vertical="center"/>
      <protection hidden="1"/>
    </xf>
    <xf numFmtId="0" fontId="49" fillId="15" borderId="89" xfId="0" applyFont="1" applyFill="1" applyBorder="1" applyAlignment="1" applyProtection="1">
      <alignment horizontal="center" vertical="center"/>
      <protection hidden="1"/>
    </xf>
    <xf numFmtId="0" fontId="49" fillId="0" borderId="0" xfId="0" applyFont="1"/>
    <xf numFmtId="0" fontId="50" fillId="0" borderId="94" xfId="0" applyFont="1" applyBorder="1" applyAlignment="1" applyProtection="1">
      <alignment vertical="center"/>
      <protection hidden="1"/>
    </xf>
    <xf numFmtId="0" fontId="49" fillId="0" borderId="87" xfId="0" applyFont="1" applyBorder="1" applyAlignment="1" applyProtection="1">
      <alignment horizontal="center" vertical="center"/>
      <protection hidden="1"/>
    </xf>
    <xf numFmtId="171" fontId="48" fillId="20" borderId="88" xfId="2" applyFont="1" applyBorder="1" applyAlignment="1" applyProtection="1">
      <alignment vertical="center"/>
      <protection hidden="1"/>
    </xf>
    <xf numFmtId="171" fontId="52" fillId="20" borderId="73" xfId="2" applyFont="1" applyBorder="1" applyAlignment="1" applyProtection="1">
      <alignment vertical="center"/>
      <protection hidden="1"/>
    </xf>
    <xf numFmtId="49" fontId="51" fillId="20" borderId="73" xfId="2" applyNumberFormat="1" applyFont="1" applyBorder="1" applyAlignment="1" applyProtection="1">
      <alignment horizontal="left" vertical="center"/>
      <protection hidden="1"/>
    </xf>
    <xf numFmtId="49" fontId="52" fillId="20" borderId="74" xfId="2" applyNumberFormat="1" applyFont="1" applyBorder="1" applyAlignment="1" applyProtection="1">
      <alignment vertical="center"/>
      <protection hidden="1"/>
    </xf>
    <xf numFmtId="49" fontId="48" fillId="20" borderId="73" xfId="2" applyNumberFormat="1" applyFont="1" applyBorder="1" applyAlignment="1" applyProtection="1">
      <alignment vertical="center"/>
      <protection hidden="1"/>
    </xf>
    <xf numFmtId="49" fontId="52" fillId="20" borderId="73" xfId="2" applyNumberFormat="1" applyFont="1" applyBorder="1" applyAlignment="1" applyProtection="1">
      <alignment vertical="center"/>
      <protection hidden="1"/>
    </xf>
    <xf numFmtId="49" fontId="52" fillId="20" borderId="89" xfId="2" applyNumberFormat="1" applyFont="1" applyBorder="1" applyAlignment="1" applyProtection="1">
      <alignment vertical="center"/>
      <protection hidden="1"/>
    </xf>
    <xf numFmtId="0" fontId="49" fillId="0" borderId="121" xfId="0" applyFont="1" applyBorder="1" applyAlignment="1" applyProtection="1">
      <alignment vertical="center"/>
      <protection hidden="1"/>
    </xf>
    <xf numFmtId="0" fontId="53" fillId="25" borderId="128" xfId="0" applyFont="1" applyFill="1" applyBorder="1" applyAlignment="1" applyProtection="1">
      <alignment vertical="center"/>
      <protection hidden="1"/>
    </xf>
    <xf numFmtId="0" fontId="53" fillId="25" borderId="123" xfId="0" applyFont="1" applyFill="1" applyBorder="1" applyAlignment="1" applyProtection="1">
      <alignment horizontal="center" vertical="center"/>
      <protection hidden="1"/>
    </xf>
    <xf numFmtId="0" fontId="49" fillId="0" borderId="122" xfId="0" applyFont="1" applyBorder="1" applyAlignment="1" applyProtection="1">
      <alignment vertical="center"/>
      <protection hidden="1"/>
    </xf>
    <xf numFmtId="0" fontId="71" fillId="14" borderId="88" xfId="0" applyFont="1" applyFill="1" applyBorder="1" applyAlignment="1" applyProtection="1">
      <alignment horizontal="centerContinuous" vertical="center"/>
      <protection hidden="1"/>
    </xf>
    <xf numFmtId="0" fontId="71" fillId="14" borderId="73" xfId="0" applyFont="1" applyFill="1" applyBorder="1" applyAlignment="1" applyProtection="1">
      <alignment horizontal="centerContinuous" vertical="center"/>
      <protection hidden="1"/>
    </xf>
    <xf numFmtId="0" fontId="71" fillId="14" borderId="89" xfId="0" applyFont="1" applyFill="1" applyBorder="1" applyAlignment="1" applyProtection="1">
      <alignment horizontal="centerContinuous" vertical="center"/>
      <protection hidden="1"/>
    </xf>
    <xf numFmtId="0" fontId="49" fillId="0" borderId="94" xfId="0" applyFont="1" applyBorder="1"/>
    <xf numFmtId="0" fontId="49" fillId="0" borderId="0" xfId="0" applyFont="1" applyBorder="1"/>
    <xf numFmtId="0" fontId="49" fillId="0" borderId="87" xfId="0" applyFont="1" applyBorder="1"/>
    <xf numFmtId="0" fontId="57" fillId="30" borderId="129" xfId="0" applyFont="1" applyFill="1" applyBorder="1" applyAlignment="1" applyProtection="1">
      <alignment vertical="center"/>
      <protection hidden="1"/>
    </xf>
    <xf numFmtId="1" fontId="58" fillId="26" borderId="130" xfId="0" applyNumberFormat="1" applyFont="1" applyFill="1" applyBorder="1" applyAlignment="1" applyProtection="1">
      <alignment horizontal="center" vertical="center"/>
      <protection hidden="1"/>
    </xf>
    <xf numFmtId="0" fontId="49" fillId="0" borderId="87" xfId="0" applyFont="1" applyBorder="1" applyAlignment="1" applyProtection="1">
      <alignment vertical="center"/>
      <protection hidden="1"/>
    </xf>
    <xf numFmtId="0" fontId="49" fillId="11" borderId="94" xfId="0" applyFont="1" applyFill="1" applyBorder="1" applyAlignment="1" applyProtection="1">
      <alignment vertical="center"/>
      <protection hidden="1"/>
    </xf>
    <xf numFmtId="0" fontId="49" fillId="11" borderId="0" xfId="0" applyFont="1" applyFill="1" applyBorder="1" applyAlignment="1" applyProtection="1">
      <alignment vertical="center"/>
      <protection hidden="1"/>
    </xf>
    <xf numFmtId="0" fontId="49" fillId="11" borderId="87" xfId="0" applyFont="1" applyFill="1" applyBorder="1" applyAlignment="1" applyProtection="1">
      <alignment horizontal="center" vertical="center"/>
      <protection hidden="1"/>
    </xf>
    <xf numFmtId="0" fontId="59" fillId="2" borderId="134" xfId="0" applyFont="1" applyFill="1" applyBorder="1" applyAlignment="1" applyProtection="1">
      <alignment horizontal="center" vertical="center"/>
      <protection hidden="1"/>
    </xf>
    <xf numFmtId="0" fontId="59" fillId="2" borderId="135" xfId="0" applyFont="1" applyFill="1" applyBorder="1" applyAlignment="1" applyProtection="1">
      <alignment horizontal="center" vertical="center"/>
      <protection hidden="1"/>
    </xf>
    <xf numFmtId="0" fontId="56" fillId="0" borderId="136" xfId="0" applyFont="1" applyBorder="1" applyAlignment="1" applyProtection="1">
      <alignment horizontal="center" vertical="center"/>
      <protection hidden="1"/>
    </xf>
    <xf numFmtId="0" fontId="63" fillId="26" borderId="113" xfId="0" applyFont="1" applyFill="1" applyBorder="1" applyAlignment="1" applyProtection="1">
      <alignment horizontal="center" vertical="center"/>
      <protection hidden="1"/>
    </xf>
    <xf numFmtId="0" fontId="63" fillId="26" borderId="57" xfId="0" applyFont="1" applyFill="1" applyBorder="1" applyAlignment="1" applyProtection="1">
      <alignment horizontal="center" vertical="center"/>
      <protection hidden="1"/>
    </xf>
    <xf numFmtId="0" fontId="63" fillId="26" borderId="120" xfId="0" applyFont="1" applyFill="1" applyBorder="1" applyAlignment="1" applyProtection="1">
      <alignment horizontal="center" vertical="center"/>
      <protection hidden="1"/>
    </xf>
    <xf numFmtId="0" fontId="49" fillId="0" borderId="105" xfId="0" applyFont="1" applyBorder="1"/>
    <xf numFmtId="0" fontId="49" fillId="0" borderId="18" xfId="0" applyFont="1" applyBorder="1"/>
    <xf numFmtId="0" fontId="49" fillId="0" borderId="106" xfId="0" applyFont="1" applyBorder="1"/>
    <xf numFmtId="0" fontId="55" fillId="0" borderId="90" xfId="0" applyFont="1" applyBorder="1" applyAlignment="1" applyProtection="1">
      <alignment horizontal="center" vertical="center"/>
      <protection hidden="1"/>
    </xf>
    <xf numFmtId="0" fontId="55" fillId="0" borderId="42" xfId="0" applyFont="1" applyBorder="1" applyAlignment="1" applyProtection="1">
      <alignment horizontal="center" vertical="center"/>
      <protection hidden="1"/>
    </xf>
    <xf numFmtId="0" fontId="55" fillId="0" borderId="95" xfId="0" applyFont="1" applyBorder="1" applyAlignment="1" applyProtection="1">
      <alignment horizontal="center" vertical="center"/>
      <protection hidden="1"/>
    </xf>
    <xf numFmtId="0" fontId="63" fillId="14" borderId="96" xfId="0" applyFont="1" applyFill="1" applyBorder="1" applyAlignment="1" applyProtection="1">
      <alignment horizontal="center" vertical="center"/>
      <protection hidden="1"/>
    </xf>
    <xf numFmtId="0" fontId="63" fillId="14" borderId="46" xfId="0" applyFont="1" applyFill="1" applyBorder="1" applyAlignment="1" applyProtection="1">
      <alignment horizontal="center" vertical="center"/>
      <protection hidden="1"/>
    </xf>
    <xf numFmtId="0" fontId="63" fillId="14" borderId="91" xfId="0" applyFont="1" applyFill="1" applyBorder="1" applyAlignment="1" applyProtection="1">
      <alignment horizontal="center" vertical="center"/>
      <protection hidden="1"/>
    </xf>
    <xf numFmtId="0" fontId="59" fillId="2" borderId="110" xfId="0" applyFont="1" applyFill="1" applyBorder="1" applyAlignment="1" applyProtection="1">
      <alignment horizontal="center" vertical="center"/>
      <protection hidden="1"/>
    </xf>
    <xf numFmtId="0" fontId="59" fillId="2" borderId="15" xfId="0" applyFont="1" applyFill="1" applyBorder="1" applyAlignment="1" applyProtection="1">
      <alignment horizontal="center" vertical="center"/>
      <protection hidden="1"/>
    </xf>
    <xf numFmtId="0" fontId="49" fillId="2" borderId="0" xfId="0" applyFont="1" applyFill="1" applyBorder="1" applyAlignment="1" applyProtection="1">
      <alignment vertical="center"/>
      <protection hidden="1"/>
    </xf>
    <xf numFmtId="0" fontId="59" fillId="2" borderId="117" xfId="0" applyFont="1" applyFill="1" applyBorder="1" applyAlignment="1" applyProtection="1">
      <alignment horizontal="center" vertical="center"/>
      <protection hidden="1"/>
    </xf>
    <xf numFmtId="0" fontId="53" fillId="27" borderId="90" xfId="0" applyFont="1" applyFill="1" applyBorder="1" applyAlignment="1" applyProtection="1">
      <alignment vertical="center"/>
      <protection hidden="1"/>
    </xf>
    <xf numFmtId="0" fontId="54" fillId="27" borderId="95" xfId="0" applyFont="1" applyFill="1" applyBorder="1" applyAlignment="1" applyProtection="1">
      <alignment horizontal="center" vertical="center"/>
      <protection hidden="1"/>
    </xf>
    <xf numFmtId="9" fontId="53" fillId="13" borderId="112" xfId="0" applyNumberFormat="1" applyFont="1" applyFill="1" applyBorder="1" applyAlignment="1" applyProtection="1">
      <alignment horizontal="center" vertical="center"/>
      <protection hidden="1"/>
    </xf>
    <xf numFmtId="9" fontId="53" fillId="13" borderId="72" xfId="0" applyNumberFormat="1" applyFont="1" applyFill="1" applyBorder="1" applyAlignment="1" applyProtection="1">
      <alignment horizontal="center" vertical="center"/>
      <protection hidden="1"/>
    </xf>
    <xf numFmtId="9" fontId="53" fillId="13" borderId="119" xfId="0" applyNumberFormat="1" applyFont="1" applyFill="1" applyBorder="1" applyAlignment="1" applyProtection="1">
      <alignment horizontal="center" vertical="center"/>
      <protection hidden="1"/>
    </xf>
    <xf numFmtId="171" fontId="52" fillId="20" borderId="88" xfId="2" applyFont="1" applyBorder="1"/>
    <xf numFmtId="171" fontId="52" fillId="20" borderId="73" xfId="2" applyFont="1" applyBorder="1"/>
    <xf numFmtId="171" fontId="52" fillId="20" borderId="74" xfId="2" applyFont="1" applyBorder="1"/>
    <xf numFmtId="49" fontId="52" fillId="20" borderId="73" xfId="2" applyNumberFormat="1" applyFont="1" applyBorder="1" applyAlignment="1">
      <alignment vertical="center"/>
    </xf>
    <xf numFmtId="171" fontId="52" fillId="20" borderId="89" xfId="2" applyFont="1" applyBorder="1"/>
    <xf numFmtId="171" fontId="48" fillId="21" borderId="90" xfId="2" applyFont="1" applyFill="1" applyBorder="1" applyAlignment="1" applyProtection="1">
      <alignment vertical="center"/>
      <protection hidden="1"/>
    </xf>
    <xf numFmtId="49" fontId="48" fillId="21" borderId="42" xfId="2" applyNumberFormat="1" applyFont="1" applyFill="1" applyBorder="1" applyAlignment="1" applyProtection="1">
      <alignment horizontal="left" vertical="center"/>
      <protection hidden="1"/>
    </xf>
    <xf numFmtId="49" fontId="52" fillId="21" borderId="95" xfId="2" applyNumberFormat="1" applyFont="1" applyFill="1" applyBorder="1" applyAlignment="1" applyProtection="1">
      <alignment vertical="center"/>
      <protection hidden="1"/>
    </xf>
    <xf numFmtId="0" fontId="49" fillId="14" borderId="90" xfId="0" applyFont="1" applyFill="1" applyBorder="1" applyAlignment="1" applyProtection="1">
      <alignment vertical="center"/>
      <protection hidden="1"/>
    </xf>
    <xf numFmtId="0" fontId="62" fillId="29" borderId="91" xfId="0" applyFont="1" applyFill="1" applyBorder="1" applyAlignment="1" applyProtection="1">
      <alignment horizontal="center" vertical="center"/>
      <protection hidden="1"/>
    </xf>
    <xf numFmtId="0" fontId="49" fillId="0" borderId="94" xfId="0" applyFont="1" applyFill="1" applyBorder="1" applyAlignment="1" applyProtection="1">
      <alignment vertical="center"/>
      <protection hidden="1"/>
    </xf>
    <xf numFmtId="0" fontId="49" fillId="0" borderId="87" xfId="0" applyFont="1" applyFill="1" applyBorder="1" applyAlignment="1" applyProtection="1">
      <alignment vertical="center"/>
      <protection hidden="1"/>
    </xf>
    <xf numFmtId="0" fontId="49" fillId="7" borderId="92" xfId="0" applyFont="1" applyFill="1" applyBorder="1" applyAlignment="1" applyProtection="1">
      <alignment vertical="center"/>
      <protection hidden="1"/>
    </xf>
    <xf numFmtId="0" fontId="49" fillId="7" borderId="75" xfId="0" applyFont="1" applyFill="1" applyBorder="1" applyAlignment="1" applyProtection="1">
      <alignment vertical="center"/>
      <protection hidden="1"/>
    </xf>
    <xf numFmtId="1" fontId="63" fillId="11" borderId="76" xfId="0" applyNumberFormat="1" applyFont="1" applyFill="1" applyBorder="1" applyAlignment="1" applyProtection="1">
      <alignment horizontal="center" vertical="center"/>
      <protection hidden="1"/>
    </xf>
    <xf numFmtId="0" fontId="49" fillId="7" borderId="76" xfId="0" applyFont="1" applyFill="1" applyBorder="1" applyAlignment="1" applyProtection="1">
      <alignment vertical="center"/>
      <protection hidden="1"/>
    </xf>
    <xf numFmtId="1" fontId="55" fillId="7" borderId="76" xfId="0" applyNumberFormat="1" applyFont="1" applyFill="1" applyBorder="1" applyAlignment="1" applyProtection="1">
      <alignment horizontal="center" vertical="center"/>
      <protection hidden="1"/>
    </xf>
    <xf numFmtId="0" fontId="55" fillId="7" borderId="76" xfId="0" applyFont="1" applyFill="1" applyBorder="1" applyAlignment="1" applyProtection="1">
      <alignment horizontal="center" vertical="center"/>
      <protection hidden="1"/>
    </xf>
    <xf numFmtId="170" fontId="55" fillId="7" borderId="76" xfId="0" applyNumberFormat="1" applyFont="1" applyFill="1" applyBorder="1" applyAlignment="1" applyProtection="1">
      <alignment horizontal="center" vertical="center"/>
      <protection hidden="1"/>
    </xf>
    <xf numFmtId="170" fontId="55" fillId="7" borderId="77" xfId="0" applyNumberFormat="1" applyFont="1" applyFill="1" applyBorder="1" applyAlignment="1" applyProtection="1">
      <alignment horizontal="center" vertical="center"/>
      <protection hidden="1"/>
    </xf>
    <xf numFmtId="9" fontId="61" fillId="8" borderId="77" xfId="0" applyNumberFormat="1" applyFont="1" applyFill="1" applyBorder="1" applyAlignment="1" applyProtection="1">
      <alignment horizontal="center" vertical="center"/>
      <protection hidden="1"/>
    </xf>
    <xf numFmtId="1" fontId="60" fillId="29" borderId="93" xfId="0" applyNumberFormat="1" applyFont="1" applyFill="1" applyBorder="1" applyAlignment="1" applyProtection="1">
      <alignment horizontal="center" vertical="center"/>
      <protection hidden="1"/>
    </xf>
    <xf numFmtId="0" fontId="59" fillId="2" borderId="109" xfId="0" applyFont="1" applyFill="1" applyBorder="1" applyAlignment="1" applyProtection="1">
      <alignment horizontal="center" vertical="center"/>
      <protection hidden="1"/>
    </xf>
    <xf numFmtId="0" fontId="59" fillId="2" borderId="71" xfId="0" applyFont="1" applyFill="1" applyBorder="1" applyAlignment="1" applyProtection="1">
      <alignment horizontal="center" vertical="center"/>
      <protection hidden="1"/>
    </xf>
    <xf numFmtId="0" fontId="56" fillId="0" borderId="116" xfId="0" applyFont="1" applyBorder="1" applyAlignment="1" applyProtection="1">
      <alignment horizontal="center" vertical="center"/>
      <protection hidden="1"/>
    </xf>
    <xf numFmtId="0" fontId="49" fillId="0" borderId="94" xfId="0" applyFont="1" applyBorder="1" applyAlignment="1" applyProtection="1">
      <alignment vertical="center"/>
      <protection hidden="1"/>
    </xf>
    <xf numFmtId="0" fontId="49" fillId="0" borderId="90" xfId="0" applyFont="1" applyFill="1" applyBorder="1" applyAlignment="1" applyProtection="1">
      <alignment vertical="center"/>
      <protection hidden="1"/>
    </xf>
    <xf numFmtId="0" fontId="49" fillId="0" borderId="42" xfId="0" applyFont="1" applyFill="1" applyBorder="1" applyAlignment="1" applyProtection="1">
      <alignment vertical="center"/>
      <protection hidden="1"/>
    </xf>
    <xf numFmtId="0" fontId="49" fillId="0" borderId="95" xfId="0" applyFont="1" applyFill="1" applyBorder="1" applyAlignment="1" applyProtection="1">
      <alignment vertical="center"/>
      <protection hidden="1"/>
    </xf>
    <xf numFmtId="171" fontId="52" fillId="21" borderId="88" xfId="2" applyFont="1" applyFill="1" applyBorder="1"/>
    <xf numFmtId="171" fontId="52" fillId="21" borderId="73" xfId="2" applyFont="1" applyFill="1" applyBorder="1"/>
    <xf numFmtId="171" fontId="52" fillId="21" borderId="78" xfId="2" applyFont="1" applyFill="1" applyBorder="1"/>
    <xf numFmtId="49" fontId="52" fillId="21" borderId="73" xfId="2" applyNumberFormat="1" applyFont="1" applyFill="1" applyBorder="1" applyAlignment="1">
      <alignment vertical="center"/>
    </xf>
    <xf numFmtId="171" fontId="52" fillId="21" borderId="89" xfId="2" applyFont="1" applyFill="1" applyBorder="1"/>
    <xf numFmtId="0" fontId="77" fillId="0" borderId="103" xfId="0" applyFont="1" applyBorder="1" applyAlignment="1" applyProtection="1">
      <alignment horizontal="center" vertical="center"/>
      <protection hidden="1"/>
    </xf>
    <xf numFmtId="0" fontId="77" fillId="0" borderId="30" xfId="0" applyFont="1" applyBorder="1" applyAlignment="1" applyProtection="1">
      <alignment horizontal="center" vertical="center"/>
      <protection hidden="1"/>
    </xf>
    <xf numFmtId="0" fontId="77" fillId="0" borderId="104" xfId="0" applyFont="1" applyBorder="1" applyAlignment="1" applyProtection="1">
      <alignment horizontal="center" vertical="center"/>
      <protection hidden="1"/>
    </xf>
    <xf numFmtId="0" fontId="56" fillId="0" borderId="90" xfId="0" applyFont="1" applyBorder="1" applyAlignment="1" applyProtection="1">
      <alignment vertical="center"/>
      <protection hidden="1"/>
    </xf>
    <xf numFmtId="0" fontId="49" fillId="0" borderId="95" xfId="0" applyFont="1" applyBorder="1" applyAlignment="1" applyProtection="1">
      <alignment horizontal="center" vertical="center"/>
      <protection hidden="1"/>
    </xf>
    <xf numFmtId="0" fontId="68" fillId="17" borderId="137" xfId="0" applyFont="1" applyFill="1" applyBorder="1" applyAlignment="1" applyProtection="1">
      <alignment horizontal="center" vertical="center"/>
      <protection hidden="1"/>
    </xf>
    <xf numFmtId="0" fontId="68" fillId="9" borderId="29" xfId="0" applyFont="1" applyFill="1" applyBorder="1" applyAlignment="1" applyProtection="1">
      <alignment horizontal="center" vertical="center"/>
      <protection hidden="1"/>
    </xf>
    <xf numFmtId="0" fontId="68" fillId="9" borderId="138" xfId="0" applyFont="1" applyFill="1" applyBorder="1" applyAlignment="1" applyProtection="1">
      <alignment horizontal="center" vertical="center"/>
      <protection hidden="1"/>
    </xf>
    <xf numFmtId="0" fontId="60" fillId="14" borderId="96" xfId="0" applyFont="1" applyFill="1" applyBorder="1" applyAlignment="1" applyProtection="1">
      <alignment vertical="center"/>
      <protection hidden="1"/>
    </xf>
    <xf numFmtId="9" fontId="69" fillId="7" borderId="131" xfId="0" applyNumberFormat="1" applyFont="1" applyFill="1" applyBorder="1" applyAlignment="1" applyProtection="1">
      <alignment horizontal="center" vertical="center"/>
      <protection hidden="1"/>
    </xf>
    <xf numFmtId="9" fontId="69" fillId="7" borderId="132" xfId="0" applyNumberFormat="1" applyFont="1" applyFill="1" applyBorder="1" applyAlignment="1" applyProtection="1">
      <alignment horizontal="center" vertical="center"/>
      <protection hidden="1"/>
    </xf>
    <xf numFmtId="9" fontId="69" fillId="7" borderId="133" xfId="0" applyNumberFormat="1" applyFont="1" applyFill="1" applyBorder="1" applyAlignment="1" applyProtection="1">
      <alignment horizontal="center" vertical="center"/>
      <protection hidden="1"/>
    </xf>
    <xf numFmtId="0" fontId="58" fillId="7" borderId="97" xfId="0" applyFont="1" applyFill="1" applyBorder="1" applyAlignment="1" applyProtection="1">
      <alignment horizontal="center" vertical="center"/>
      <protection hidden="1"/>
    </xf>
    <xf numFmtId="9" fontId="69" fillId="7" borderId="14" xfId="0" applyNumberFormat="1" applyFont="1" applyFill="1" applyBorder="1" applyAlignment="1" applyProtection="1">
      <alignment horizontal="center" vertical="center"/>
      <protection hidden="1"/>
    </xf>
    <xf numFmtId="1" fontId="69" fillId="7" borderId="14" xfId="0" applyNumberFormat="1" applyFont="1" applyFill="1" applyBorder="1" applyAlignment="1" applyProtection="1">
      <alignment horizontal="center" vertical="center"/>
      <protection hidden="1"/>
    </xf>
    <xf numFmtId="170" fontId="58" fillId="7" borderId="14" xfId="0" applyNumberFormat="1" applyFont="1" applyFill="1" applyBorder="1" applyAlignment="1" applyProtection="1">
      <alignment horizontal="center" vertical="center"/>
      <protection hidden="1"/>
    </xf>
    <xf numFmtId="1" fontId="69" fillId="7" borderId="1" xfId="0" applyNumberFormat="1" applyFont="1" applyFill="1" applyBorder="1" applyAlignment="1" applyProtection="1">
      <alignment horizontal="center" vertical="center"/>
      <protection hidden="1"/>
    </xf>
    <xf numFmtId="170" fontId="69" fillId="7" borderId="14" xfId="0" applyNumberFormat="1" applyFont="1" applyFill="1" applyBorder="1" applyAlignment="1" applyProtection="1">
      <alignment horizontal="center" vertical="center"/>
      <protection hidden="1"/>
    </xf>
    <xf numFmtId="170" fontId="69" fillId="7" borderId="6" xfId="0" applyNumberFormat="1" applyFont="1" applyFill="1" applyBorder="1" applyAlignment="1" applyProtection="1">
      <alignment horizontal="center" vertical="center"/>
      <protection hidden="1"/>
    </xf>
    <xf numFmtId="9" fontId="66" fillId="8" borderId="6" xfId="0" applyNumberFormat="1" applyFont="1" applyFill="1" applyBorder="1" applyAlignment="1" applyProtection="1">
      <alignment horizontal="center" vertical="center"/>
      <protection hidden="1"/>
    </xf>
    <xf numFmtId="1" fontId="75" fillId="29" borderId="98" xfId="0" applyNumberFormat="1" applyFont="1" applyFill="1" applyBorder="1" applyAlignment="1" applyProtection="1">
      <alignment horizontal="center" vertical="center"/>
      <protection hidden="1"/>
    </xf>
    <xf numFmtId="9" fontId="69" fillId="7" borderId="99" xfId="0" applyNumberFormat="1" applyFont="1" applyFill="1" applyBorder="1" applyAlignment="1" applyProtection="1">
      <alignment horizontal="center" vertical="center"/>
      <protection hidden="1"/>
    </xf>
    <xf numFmtId="9" fontId="69" fillId="7" borderId="1" xfId="0" applyNumberFormat="1" applyFont="1" applyFill="1" applyBorder="1" applyAlignment="1" applyProtection="1">
      <alignment horizontal="center" vertical="center"/>
      <protection hidden="1"/>
    </xf>
    <xf numFmtId="9" fontId="69" fillId="7" borderId="100" xfId="0" applyNumberFormat="1" applyFont="1" applyFill="1" applyBorder="1" applyAlignment="1" applyProtection="1">
      <alignment horizontal="center" vertical="center"/>
      <protection hidden="1"/>
    </xf>
    <xf numFmtId="0" fontId="58" fillId="7" borderId="99" xfId="0" applyFont="1" applyFill="1" applyBorder="1" applyAlignment="1" applyProtection="1">
      <alignment horizontal="center" vertical="center"/>
      <protection hidden="1"/>
    </xf>
    <xf numFmtId="170" fontId="58" fillId="7" borderId="1" xfId="0" applyNumberFormat="1" applyFont="1" applyFill="1" applyBorder="1" applyAlignment="1" applyProtection="1">
      <alignment horizontal="center" vertical="center"/>
      <protection hidden="1"/>
    </xf>
    <xf numFmtId="170" fontId="69" fillId="7" borderId="1" xfId="0" applyNumberFormat="1" applyFont="1" applyFill="1" applyBorder="1" applyAlignment="1" applyProtection="1">
      <alignment horizontal="center" vertical="center"/>
      <protection hidden="1"/>
    </xf>
    <xf numFmtId="170" fontId="69" fillId="7" borderId="12" xfId="0" applyNumberFormat="1" applyFont="1" applyFill="1" applyBorder="1" applyAlignment="1" applyProtection="1">
      <alignment horizontal="center" vertical="center"/>
      <protection hidden="1"/>
    </xf>
    <xf numFmtId="9" fontId="66" fillId="8" borderId="12" xfId="0" applyNumberFormat="1" applyFont="1" applyFill="1" applyBorder="1" applyAlignment="1" applyProtection="1">
      <alignment horizontal="center" vertical="center"/>
      <protection hidden="1"/>
    </xf>
    <xf numFmtId="1" fontId="75" fillId="29" borderId="100" xfId="0" applyNumberFormat="1" applyFont="1" applyFill="1" applyBorder="1" applyAlignment="1" applyProtection="1">
      <alignment horizontal="center" vertical="center"/>
      <protection hidden="1"/>
    </xf>
    <xf numFmtId="0" fontId="49" fillId="0" borderId="64" xfId="0" applyFont="1" applyBorder="1" applyAlignment="1" applyProtection="1">
      <alignment vertical="center"/>
      <protection hidden="1"/>
    </xf>
    <xf numFmtId="0" fontId="49" fillId="0" borderId="65" xfId="0" applyFont="1" applyBorder="1" applyAlignment="1" applyProtection="1">
      <alignment vertical="center"/>
      <protection hidden="1"/>
    </xf>
    <xf numFmtId="9" fontId="69" fillId="7" borderId="139" xfId="0" applyNumberFormat="1" applyFont="1" applyFill="1" applyBorder="1" applyAlignment="1" applyProtection="1">
      <alignment horizontal="center" vertical="center"/>
      <protection hidden="1"/>
    </xf>
    <xf numFmtId="9" fontId="69" fillId="7" borderId="140" xfId="0" applyNumberFormat="1" applyFont="1" applyFill="1" applyBorder="1" applyAlignment="1" applyProtection="1">
      <alignment horizontal="center" vertical="center"/>
      <protection hidden="1"/>
    </xf>
    <xf numFmtId="9" fontId="69" fillId="7" borderId="141" xfId="0" applyNumberFormat="1" applyFont="1" applyFill="1" applyBorder="1" applyAlignment="1" applyProtection="1">
      <alignment horizontal="center" vertical="center"/>
      <protection hidden="1"/>
    </xf>
    <xf numFmtId="0" fontId="58" fillId="7" borderId="101" xfId="0" applyFont="1" applyFill="1" applyBorder="1" applyAlignment="1" applyProtection="1">
      <alignment horizontal="center" vertical="center"/>
      <protection hidden="1"/>
    </xf>
    <xf numFmtId="9" fontId="69" fillId="7" borderId="79" xfId="0" applyNumberFormat="1" applyFont="1" applyFill="1" applyBorder="1" applyAlignment="1" applyProtection="1">
      <alignment horizontal="center" vertical="center"/>
      <protection hidden="1"/>
    </xf>
    <xf numFmtId="1" fontId="69" fillId="7" borderId="79" xfId="0" applyNumberFormat="1" applyFont="1" applyFill="1" applyBorder="1" applyAlignment="1" applyProtection="1">
      <alignment horizontal="center" vertical="center"/>
      <protection hidden="1"/>
    </xf>
    <xf numFmtId="170" fontId="58" fillId="7" borderId="79" xfId="0" applyNumberFormat="1" applyFont="1" applyFill="1" applyBorder="1" applyAlignment="1" applyProtection="1">
      <alignment horizontal="center" vertical="center"/>
      <protection hidden="1"/>
    </xf>
    <xf numFmtId="170" fontId="69" fillId="7" borderId="79" xfId="0" applyNumberFormat="1" applyFont="1" applyFill="1" applyBorder="1" applyAlignment="1" applyProtection="1">
      <alignment horizontal="center" vertical="center"/>
      <protection hidden="1"/>
    </xf>
    <xf numFmtId="170" fontId="69" fillId="7" borderId="80" xfId="0" applyNumberFormat="1" applyFont="1" applyFill="1" applyBorder="1" applyAlignment="1" applyProtection="1">
      <alignment horizontal="center" vertical="center"/>
      <protection hidden="1"/>
    </xf>
    <xf numFmtId="9" fontId="66" fillId="8" borderId="80" xfId="0" applyNumberFormat="1" applyFont="1" applyFill="1" applyBorder="1" applyAlignment="1" applyProtection="1">
      <alignment horizontal="center" vertical="center"/>
      <protection hidden="1"/>
    </xf>
    <xf numFmtId="1" fontId="75" fillId="29" borderId="102" xfId="0" applyNumberFormat="1" applyFont="1" applyFill="1" applyBorder="1" applyAlignment="1" applyProtection="1">
      <alignment horizontal="center" vertical="center"/>
      <protection hidden="1"/>
    </xf>
    <xf numFmtId="0" fontId="49" fillId="0" borderId="70" xfId="0" applyFont="1" applyBorder="1" applyAlignment="1" applyProtection="1">
      <alignment vertical="center"/>
      <protection hidden="1"/>
    </xf>
    <xf numFmtId="0" fontId="49" fillId="0" borderId="125" xfId="0" applyFont="1" applyBorder="1" applyAlignment="1" applyProtection="1">
      <alignment vertical="center"/>
      <protection hidden="1"/>
    </xf>
    <xf numFmtId="0" fontId="49" fillId="0" borderId="103" xfId="0" applyFont="1" applyBorder="1" applyAlignment="1" applyProtection="1">
      <alignment vertical="center"/>
      <protection hidden="1"/>
    </xf>
    <xf numFmtId="0" fontId="49" fillId="0" borderId="104" xfId="0" applyFont="1" applyBorder="1" applyAlignment="1" applyProtection="1">
      <alignment horizontal="center" vertical="center"/>
      <protection hidden="1"/>
    </xf>
    <xf numFmtId="0" fontId="59" fillId="0" borderId="105" xfId="0" applyFont="1" applyFill="1" applyBorder="1" applyAlignment="1" applyProtection="1">
      <alignment horizontal="center" vertical="center"/>
      <protection hidden="1"/>
    </xf>
    <xf numFmtId="0" fontId="59" fillId="0" borderId="18" xfId="0" applyFont="1" applyFill="1" applyBorder="1" applyAlignment="1" applyProtection="1">
      <alignment horizontal="center" vertical="center"/>
      <protection hidden="1"/>
    </xf>
    <xf numFmtId="0" fontId="59" fillId="0" borderId="106" xfId="0" applyFont="1" applyFill="1" applyBorder="1" applyAlignment="1" applyProtection="1">
      <alignment horizontal="center" vertical="center"/>
      <protection hidden="1"/>
    </xf>
    <xf numFmtId="0" fontId="53" fillId="27" borderId="105" xfId="0" applyFont="1" applyFill="1" applyBorder="1" applyAlignment="1" applyProtection="1">
      <alignment vertical="center"/>
      <protection hidden="1"/>
    </xf>
    <xf numFmtId="0" fontId="54" fillId="27" borderId="18" xfId="0" applyFont="1" applyFill="1" applyBorder="1" applyAlignment="1" applyProtection="1">
      <alignment vertical="center"/>
      <protection hidden="1"/>
    </xf>
    <xf numFmtId="0" fontId="54" fillId="27" borderId="106" xfId="0" applyFont="1" applyFill="1" applyBorder="1" applyAlignment="1" applyProtection="1">
      <alignment horizontal="center" vertical="center"/>
      <protection hidden="1"/>
    </xf>
    <xf numFmtId="170" fontId="53" fillId="0" borderId="103" xfId="0" applyNumberFormat="1" applyFont="1" applyFill="1" applyBorder="1" applyAlignment="1" applyProtection="1">
      <alignment horizontal="center" vertical="center"/>
      <protection hidden="1"/>
    </xf>
    <xf numFmtId="170" fontId="53" fillId="0" borderId="30" xfId="0" applyNumberFormat="1" applyFont="1" applyFill="1" applyBorder="1" applyAlignment="1" applyProtection="1">
      <alignment horizontal="center" vertical="center"/>
      <protection hidden="1"/>
    </xf>
    <xf numFmtId="170" fontId="53" fillId="0" borderId="104" xfId="0" applyNumberFormat="1" applyFont="1" applyFill="1" applyBorder="1" applyAlignment="1" applyProtection="1">
      <alignment horizontal="center" vertical="center"/>
      <protection hidden="1"/>
    </xf>
    <xf numFmtId="0" fontId="56" fillId="14" borderId="88" xfId="0" applyFont="1" applyFill="1" applyBorder="1" applyAlignment="1" applyProtection="1">
      <alignment vertical="center"/>
      <protection hidden="1"/>
    </xf>
    <xf numFmtId="0" fontId="49" fillId="14" borderId="81" xfId="0" applyFont="1" applyFill="1" applyBorder="1" applyAlignment="1" applyProtection="1">
      <alignment vertical="center"/>
      <protection hidden="1"/>
    </xf>
    <xf numFmtId="0" fontId="60" fillId="14" borderId="82" xfId="0" applyFont="1" applyFill="1" applyBorder="1" applyAlignment="1" applyProtection="1">
      <alignment vertical="center"/>
      <protection hidden="1"/>
    </xf>
    <xf numFmtId="0" fontId="49" fillId="14" borderId="82" xfId="0" applyFont="1" applyFill="1" applyBorder="1" applyAlignment="1" applyProtection="1">
      <alignment vertical="center"/>
      <protection hidden="1"/>
    </xf>
    <xf numFmtId="0" fontId="60" fillId="14" borderId="82" xfId="0" applyFont="1" applyFill="1" applyBorder="1" applyAlignment="1" applyProtection="1">
      <alignment horizontal="center" vertical="center"/>
      <protection hidden="1"/>
    </xf>
    <xf numFmtId="0" fontId="60" fillId="14" borderId="83" xfId="0" applyFont="1" applyFill="1" applyBorder="1" applyAlignment="1" applyProtection="1">
      <alignment horizontal="center" vertical="center"/>
      <protection hidden="1"/>
    </xf>
    <xf numFmtId="0" fontId="61" fillId="27" borderId="82" xfId="0" applyFont="1" applyFill="1" applyBorder="1" applyAlignment="1" applyProtection="1">
      <alignment horizontal="left" vertical="center"/>
      <protection hidden="1"/>
    </xf>
    <xf numFmtId="0" fontId="60" fillId="8" borderId="83" xfId="0" applyFont="1" applyFill="1" applyBorder="1" applyAlignment="1" applyProtection="1">
      <alignment horizontal="right" vertical="center"/>
      <protection hidden="1"/>
    </xf>
    <xf numFmtId="0" fontId="62" fillId="29" borderId="107" xfId="0" applyFont="1" applyFill="1" applyBorder="1" applyAlignment="1" applyProtection="1">
      <alignment horizontal="center" vertical="center"/>
      <protection hidden="1"/>
    </xf>
    <xf numFmtId="0" fontId="49" fillId="0" borderId="66" xfId="0" applyFont="1" applyBorder="1" applyAlignment="1" applyProtection="1">
      <alignment vertical="center"/>
      <protection hidden="1"/>
    </xf>
    <xf numFmtId="0" fontId="49" fillId="0" borderId="124" xfId="0" applyFont="1" applyBorder="1" applyAlignment="1" applyProtection="1">
      <alignment vertical="center"/>
      <protection hidden="1"/>
    </xf>
    <xf numFmtId="0" fontId="77" fillId="0" borderId="142" xfId="0" applyFont="1" applyBorder="1" applyAlignment="1" applyProtection="1">
      <alignment horizontal="center" vertical="center"/>
      <protection hidden="1"/>
    </xf>
    <xf numFmtId="0" fontId="77" fillId="0" borderId="143" xfId="0" applyFont="1" applyBorder="1" applyAlignment="1" applyProtection="1">
      <alignment horizontal="center" vertical="center"/>
      <protection hidden="1"/>
    </xf>
    <xf numFmtId="0" fontId="77" fillId="0" borderId="144" xfId="0" applyFont="1" applyBorder="1" applyAlignment="1" applyProtection="1">
      <alignment horizontal="center" vertical="center"/>
      <protection hidden="1"/>
    </xf>
    <xf numFmtId="0" fontId="68" fillId="17" borderId="109" xfId="0" applyFont="1" applyFill="1" applyBorder="1" applyAlignment="1" applyProtection="1">
      <alignment horizontal="center" vertical="center"/>
      <protection hidden="1"/>
    </xf>
    <xf numFmtId="0" fontId="68" fillId="9" borderId="71" xfId="0" applyFont="1" applyFill="1" applyBorder="1" applyAlignment="1" applyProtection="1">
      <alignment horizontal="center" vertical="center"/>
      <protection hidden="1"/>
    </xf>
    <xf numFmtId="0" fontId="68" fillId="9" borderId="116" xfId="0" applyFont="1" applyFill="1" applyBorder="1" applyAlignment="1" applyProtection="1">
      <alignment horizontal="center" vertical="center"/>
      <protection hidden="1"/>
    </xf>
    <xf numFmtId="0" fontId="60" fillId="14" borderId="108" xfId="0" applyFont="1" applyFill="1" applyBorder="1" applyAlignment="1" applyProtection="1">
      <alignment vertical="center"/>
      <protection hidden="1"/>
    </xf>
    <xf numFmtId="0" fontId="60" fillId="14" borderId="84" xfId="0" applyFont="1" applyFill="1" applyBorder="1" applyAlignment="1" applyProtection="1">
      <alignment vertical="center"/>
      <protection hidden="1"/>
    </xf>
    <xf numFmtId="0" fontId="60" fillId="14" borderId="84" xfId="0" applyFont="1" applyFill="1" applyBorder="1" applyAlignment="1" applyProtection="1">
      <alignment horizontal="center" vertical="center"/>
      <protection hidden="1"/>
    </xf>
    <xf numFmtId="0" fontId="60" fillId="14" borderId="85" xfId="0" applyFont="1" applyFill="1" applyBorder="1" applyAlignment="1" applyProtection="1">
      <alignment horizontal="center" vertical="center"/>
      <protection hidden="1"/>
    </xf>
    <xf numFmtId="0" fontId="61" fillId="27" borderId="86" xfId="0" applyFont="1" applyFill="1" applyBorder="1" applyAlignment="1" applyProtection="1">
      <alignment horizontal="left" vertical="center"/>
      <protection hidden="1"/>
    </xf>
    <xf numFmtId="9" fontId="69" fillId="26" borderId="99" xfId="1" applyNumberFormat="1" applyFont="1" applyFill="1" applyBorder="1" applyAlignment="1" applyProtection="1">
      <alignment horizontal="center" vertical="center"/>
      <protection hidden="1"/>
    </xf>
    <xf numFmtId="0" fontId="69" fillId="7" borderId="1" xfId="0" applyFont="1" applyFill="1" applyBorder="1" applyAlignment="1" applyProtection="1">
      <alignment horizontal="center" vertical="center"/>
      <protection hidden="1"/>
    </xf>
    <xf numFmtId="0" fontId="49" fillId="0" borderId="64" xfId="0" applyFont="1" applyBorder="1"/>
    <xf numFmtId="0" fontId="49" fillId="0" borderId="65" xfId="0" applyFont="1" applyBorder="1"/>
    <xf numFmtId="9" fontId="69" fillId="7" borderId="111" xfId="0" applyNumberFormat="1" applyFont="1" applyFill="1" applyBorder="1" applyAlignment="1" applyProtection="1">
      <alignment horizontal="center" vertical="center"/>
      <protection hidden="1"/>
    </xf>
    <xf numFmtId="9" fontId="69" fillId="7" borderId="2" xfId="0" applyNumberFormat="1" applyFont="1" applyFill="1" applyBorder="1" applyAlignment="1" applyProtection="1">
      <alignment horizontal="center" vertical="center"/>
      <protection hidden="1"/>
    </xf>
    <xf numFmtId="9" fontId="69" fillId="7" borderId="118" xfId="0" applyNumberFormat="1" applyFont="1" applyFill="1" applyBorder="1" applyAlignment="1" applyProtection="1">
      <alignment horizontal="center" vertical="center"/>
      <protection hidden="1"/>
    </xf>
    <xf numFmtId="0" fontId="49" fillId="0" borderId="70" xfId="0" applyFont="1" applyBorder="1" applyAlignment="1">
      <alignment horizontal="centerContinuous" vertical="center"/>
    </xf>
    <xf numFmtId="0" fontId="49" fillId="0" borderId="125" xfId="0" applyFont="1" applyBorder="1" applyAlignment="1">
      <alignment horizontal="centerContinuous" vertical="center"/>
    </xf>
    <xf numFmtId="9" fontId="69" fillId="7" borderId="101" xfId="0" applyNumberFormat="1" applyFont="1" applyFill="1" applyBorder="1" applyAlignment="1" applyProtection="1">
      <alignment horizontal="center" vertical="center"/>
      <protection hidden="1"/>
    </xf>
    <xf numFmtId="9" fontId="69" fillId="7" borderId="102" xfId="0" applyNumberFormat="1" applyFont="1" applyFill="1" applyBorder="1" applyAlignment="1" applyProtection="1">
      <alignment horizontal="center" vertical="center"/>
      <protection hidden="1"/>
    </xf>
    <xf numFmtId="0" fontId="49" fillId="0" borderId="114" xfId="0" applyFont="1" applyBorder="1" applyAlignment="1" applyProtection="1">
      <alignment vertical="center"/>
      <protection hidden="1"/>
    </xf>
    <xf numFmtId="0" fontId="49" fillId="0" borderId="126" xfId="0" applyFont="1" applyBorder="1" applyAlignment="1" applyProtection="1">
      <alignment vertical="center"/>
      <protection hidden="1"/>
    </xf>
    <xf numFmtId="0" fontId="49" fillId="0" borderId="127" xfId="0" applyFont="1" applyBorder="1" applyAlignment="1" applyProtection="1">
      <alignment vertical="center"/>
      <protection hidden="1"/>
    </xf>
    <xf numFmtId="0" fontId="49" fillId="0" borderId="115" xfId="0" applyFont="1" applyBorder="1" applyAlignment="1" applyProtection="1">
      <alignment vertical="center"/>
      <protection hidden="1"/>
    </xf>
    <xf numFmtId="9" fontId="69" fillId="26" borderId="101" xfId="1" applyNumberFormat="1" applyFont="1" applyFill="1" applyBorder="1" applyAlignment="1" applyProtection="1">
      <alignment horizontal="center" vertical="center"/>
      <protection hidden="1"/>
    </xf>
    <xf numFmtId="0" fontId="69" fillId="7" borderId="79" xfId="0" applyFont="1" applyFill="1" applyBorder="1" applyAlignment="1" applyProtection="1">
      <alignment horizontal="center" vertical="center"/>
      <protection hidden="1"/>
    </xf>
    <xf numFmtId="0" fontId="78" fillId="0" borderId="0" xfId="0" applyFont="1" applyAlignment="1">
      <alignment vertical="center"/>
    </xf>
    <xf numFmtId="0" fontId="78" fillId="32" borderId="0" xfId="0" applyFont="1" applyFill="1" applyAlignment="1">
      <alignment vertical="center"/>
    </xf>
    <xf numFmtId="0" fontId="78" fillId="32" borderId="0" xfId="0" applyFont="1" applyFill="1" applyAlignment="1">
      <alignment horizontal="centerContinuous" vertical="center"/>
    </xf>
    <xf numFmtId="0" fontId="49" fillId="32" borderId="0" xfId="0" applyFont="1" applyFill="1" applyAlignment="1">
      <alignment horizontal="centerContinuous"/>
    </xf>
    <xf numFmtId="0" fontId="78" fillId="11" borderId="0" xfId="0" applyFont="1" applyFill="1" applyAlignment="1">
      <alignment vertical="center"/>
    </xf>
    <xf numFmtId="0" fontId="49" fillId="11" borderId="0" xfId="0" applyFont="1" applyFill="1"/>
    <xf numFmtId="0" fontId="78" fillId="11" borderId="5" xfId="0" applyFont="1" applyFill="1" applyBorder="1" applyAlignment="1">
      <alignment vertical="center"/>
    </xf>
    <xf numFmtId="0" fontId="89" fillId="33" borderId="3" xfId="0" applyFont="1" applyFill="1" applyBorder="1" applyAlignment="1">
      <alignment horizontal="centerContinuous" vertical="center"/>
    </xf>
    <xf numFmtId="0" fontId="78" fillId="33" borderId="4" xfId="0" applyFont="1" applyFill="1" applyBorder="1" applyAlignment="1">
      <alignment horizontal="centerContinuous" vertical="center"/>
    </xf>
    <xf numFmtId="0" fontId="78" fillId="33" borderId="13" xfId="0" applyFont="1" applyFill="1" applyBorder="1" applyAlignment="1">
      <alignment horizontal="centerContinuous" vertical="center"/>
    </xf>
    <xf numFmtId="0" fontId="78" fillId="33" borderId="5" xfId="0" applyFont="1" applyFill="1" applyBorder="1" applyAlignment="1">
      <alignment horizontal="centerContinuous" vertical="center"/>
    </xf>
    <xf numFmtId="0" fontId="78" fillId="11" borderId="4" xfId="0" applyFont="1" applyFill="1" applyBorder="1" applyAlignment="1">
      <alignment vertical="center"/>
    </xf>
    <xf numFmtId="0" fontId="78" fillId="0" borderId="4" xfId="0" applyFont="1" applyBorder="1" applyAlignment="1">
      <alignment vertical="center"/>
    </xf>
    <xf numFmtId="0" fontId="78" fillId="0" borderId="5" xfId="0" applyFont="1" applyBorder="1" applyAlignment="1">
      <alignment vertical="center"/>
    </xf>
    <xf numFmtId="0" fontId="78" fillId="11" borderId="3" xfId="0" applyFont="1" applyFill="1" applyBorder="1" applyAlignment="1">
      <alignment vertical="center"/>
    </xf>
    <xf numFmtId="0" fontId="72" fillId="0" borderId="13" xfId="0" applyFont="1" applyBorder="1" applyAlignment="1">
      <alignment vertical="center"/>
    </xf>
    <xf numFmtId="0" fontId="72" fillId="0" borderId="1" xfId="0" applyFont="1" applyFill="1" applyBorder="1" applyAlignment="1">
      <alignment horizontal="centerContinuous" vertical="center"/>
    </xf>
    <xf numFmtId="0" fontId="72" fillId="0" borderId="12" xfId="0" applyFont="1" applyFill="1" applyBorder="1" applyAlignment="1">
      <alignment horizontal="centerContinuous" vertical="center"/>
    </xf>
    <xf numFmtId="0" fontId="72" fillId="11" borderId="2" xfId="0" applyFont="1" applyFill="1" applyBorder="1" applyAlignment="1">
      <alignment horizontal="center" vertical="center"/>
    </xf>
    <xf numFmtId="0" fontId="72" fillId="0" borderId="9" xfId="0" applyFont="1" applyFill="1" applyBorder="1" applyAlignment="1">
      <alignment horizontal="centerContinuous" vertical="center"/>
    </xf>
    <xf numFmtId="0" fontId="72" fillId="11" borderId="3" xfId="0" applyFont="1" applyFill="1" applyBorder="1" applyAlignment="1">
      <alignment horizontal="center" vertical="center"/>
    </xf>
    <xf numFmtId="0" fontId="72" fillId="11" borderId="4" xfId="0" applyFont="1" applyFill="1" applyBorder="1" applyAlignment="1">
      <alignment horizontal="center" vertical="center"/>
    </xf>
    <xf numFmtId="0" fontId="49" fillId="11" borderId="5" xfId="0" applyFont="1" applyFill="1" applyBorder="1" applyAlignment="1"/>
    <xf numFmtId="0" fontId="78" fillId="11" borderId="0" xfId="0" applyFont="1" applyFill="1" applyBorder="1" applyAlignment="1">
      <alignment vertical="center"/>
    </xf>
    <xf numFmtId="0" fontId="78" fillId="0" borderId="0" xfId="0" applyFont="1" applyBorder="1" applyAlignment="1">
      <alignment vertical="center"/>
    </xf>
    <xf numFmtId="0" fontId="78" fillId="0" borderId="11" xfId="0" applyFont="1" applyBorder="1" applyAlignment="1">
      <alignment vertical="center"/>
    </xf>
    <xf numFmtId="0" fontId="78" fillId="11" borderId="10" xfId="0" applyFont="1" applyFill="1" applyBorder="1" applyAlignment="1">
      <alignment vertical="center"/>
    </xf>
    <xf numFmtId="0" fontId="78" fillId="11" borderId="11" xfId="0" applyFont="1" applyFill="1" applyBorder="1" applyAlignment="1">
      <alignment vertical="center"/>
    </xf>
    <xf numFmtId="0" fontId="78" fillId="0" borderId="13" xfId="0" applyFont="1" applyBorder="1" applyAlignment="1">
      <alignment vertical="center"/>
    </xf>
    <xf numFmtId="0" fontId="78" fillId="23" borderId="1" xfId="0" applyFont="1" applyFill="1" applyBorder="1" applyAlignment="1">
      <alignment horizontal="center" vertical="center"/>
    </xf>
    <xf numFmtId="0" fontId="72" fillId="11" borderId="15" xfId="0" applyFont="1" applyFill="1" applyBorder="1" applyAlignment="1">
      <alignment horizontal="center" vertical="center"/>
    </xf>
    <xf numFmtId="0" fontId="72" fillId="11" borderId="10" xfId="0" applyFont="1" applyFill="1" applyBorder="1" applyAlignment="1">
      <alignment horizontal="center" vertical="center"/>
    </xf>
    <xf numFmtId="0" fontId="49" fillId="11" borderId="0" xfId="0" applyFont="1" applyFill="1" applyBorder="1" applyAlignment="1">
      <alignment vertical="center"/>
    </xf>
    <xf numFmtId="0" fontId="49" fillId="11" borderId="11" xfId="0" applyFont="1" applyFill="1" applyBorder="1" applyAlignment="1"/>
    <xf numFmtId="0" fontId="78" fillId="11" borderId="6" xfId="0" applyFont="1" applyFill="1" applyBorder="1" applyAlignment="1">
      <alignment vertical="center"/>
    </xf>
    <xf numFmtId="0" fontId="78" fillId="11" borderId="7" xfId="0" applyFont="1" applyFill="1" applyBorder="1" applyAlignment="1">
      <alignment vertical="center"/>
    </xf>
    <xf numFmtId="0" fontId="78" fillId="11" borderId="8" xfId="0" applyFont="1" applyFill="1" applyBorder="1" applyAlignment="1">
      <alignment vertical="center"/>
    </xf>
    <xf numFmtId="0" fontId="72" fillId="11" borderId="14" xfId="0" applyFont="1" applyFill="1" applyBorder="1" applyAlignment="1">
      <alignment horizontal="center" vertical="center"/>
    </xf>
    <xf numFmtId="0" fontId="72" fillId="11" borderId="6" xfId="0" applyFont="1" applyFill="1" applyBorder="1" applyAlignment="1">
      <alignment horizontal="center" vertical="center"/>
    </xf>
    <xf numFmtId="0" fontId="49" fillId="11" borderId="7" xfId="0" applyFont="1" applyFill="1" applyBorder="1" applyAlignment="1">
      <alignment vertical="center"/>
    </xf>
    <xf numFmtId="0" fontId="49" fillId="11" borderId="8" xfId="0" applyFont="1" applyFill="1" applyBorder="1" applyAlignment="1"/>
    <xf numFmtId="0" fontId="89" fillId="21" borderId="3" xfId="0" applyFont="1" applyFill="1" applyBorder="1" applyAlignment="1">
      <alignment horizontal="centerContinuous" vertical="center"/>
    </xf>
    <xf numFmtId="0" fontId="89" fillId="21" borderId="4" xfId="0" applyFont="1" applyFill="1" applyBorder="1" applyAlignment="1">
      <alignment horizontal="centerContinuous" vertical="center"/>
    </xf>
    <xf numFmtId="0" fontId="78" fillId="21" borderId="4" xfId="0" applyFont="1" applyFill="1" applyBorder="1" applyAlignment="1">
      <alignment horizontal="centerContinuous" vertical="center"/>
    </xf>
    <xf numFmtId="0" fontId="78" fillId="21" borderId="13" xfId="0" applyFont="1" applyFill="1" applyBorder="1" applyAlignment="1">
      <alignment horizontal="centerContinuous" vertical="center"/>
    </xf>
    <xf numFmtId="0" fontId="78" fillId="21" borderId="9" xfId="0" applyFont="1" applyFill="1" applyBorder="1" applyAlignment="1">
      <alignment horizontal="centerContinuous" vertical="center"/>
    </xf>
    <xf numFmtId="0" fontId="78" fillId="21" borderId="5" xfId="0" applyFont="1" applyFill="1" applyBorder="1" applyAlignment="1">
      <alignment horizontal="centerContinuous" vertical="center"/>
    </xf>
    <xf numFmtId="0" fontId="62" fillId="14" borderId="12" xfId="0" applyFont="1" applyFill="1" applyBorder="1" applyAlignment="1">
      <alignment horizontal="centerContinuous" vertical="center"/>
    </xf>
    <xf numFmtId="0" fontId="93" fillId="14" borderId="13" xfId="0" applyFont="1" applyFill="1" applyBorder="1" applyAlignment="1">
      <alignment horizontal="centerContinuous" vertical="center"/>
    </xf>
    <xf numFmtId="0" fontId="93" fillId="14" borderId="9" xfId="0" applyFont="1" applyFill="1" applyBorder="1" applyAlignment="1">
      <alignment horizontal="centerContinuous" vertical="center"/>
    </xf>
    <xf numFmtId="0" fontId="78" fillId="0" borderId="10" xfId="0" applyFont="1" applyBorder="1" applyAlignment="1">
      <alignment vertical="center"/>
    </xf>
    <xf numFmtId="0" fontId="78" fillId="0" borderId="6" xfId="0" applyFont="1" applyBorder="1" applyAlignment="1">
      <alignment vertical="center"/>
    </xf>
    <xf numFmtId="0" fontId="78" fillId="0" borderId="7" xfId="0" applyFont="1" applyBorder="1" applyAlignment="1">
      <alignment vertical="center"/>
    </xf>
    <xf numFmtId="0" fontId="78" fillId="0" borderId="8" xfId="0" applyFont="1" applyBorder="1" applyAlignment="1">
      <alignment vertical="center"/>
    </xf>
    <xf numFmtId="0" fontId="49" fillId="0" borderId="15" xfId="0" applyFont="1" applyBorder="1"/>
    <xf numFmtId="0" fontId="73" fillId="0" borderId="46" xfId="0" applyFont="1" applyFill="1" applyBorder="1" applyAlignment="1">
      <alignment horizontal="center" vertical="center"/>
    </xf>
    <xf numFmtId="0" fontId="89" fillId="33" borderId="12" xfId="0" applyFont="1" applyFill="1" applyBorder="1" applyAlignment="1">
      <alignment horizontal="centerContinuous" vertical="center"/>
    </xf>
    <xf numFmtId="0" fontId="78" fillId="33" borderId="9" xfId="0" applyFont="1" applyFill="1" applyBorder="1" applyAlignment="1">
      <alignment horizontal="centerContinuous" vertical="center"/>
    </xf>
    <xf numFmtId="0" fontId="78" fillId="11" borderId="15" xfId="0" applyFont="1" applyFill="1" applyBorder="1" applyAlignment="1">
      <alignment vertical="center"/>
    </xf>
    <xf numFmtId="0" fontId="89" fillId="21" borderId="12" xfId="0" applyFont="1" applyFill="1" applyBorder="1" applyAlignment="1">
      <alignment horizontal="centerContinuous" vertical="center"/>
    </xf>
    <xf numFmtId="0" fontId="72" fillId="0" borderId="2" xfId="0" applyFont="1" applyBorder="1" applyAlignment="1">
      <alignment vertical="center"/>
    </xf>
    <xf numFmtId="0" fontId="72" fillId="36" borderId="1" xfId="0" applyFont="1" applyFill="1" applyBorder="1" applyAlignment="1">
      <alignment horizontal="center" vertical="center"/>
    </xf>
    <xf numFmtId="0" fontId="72" fillId="37" borderId="1" xfId="0" applyFont="1" applyFill="1" applyBorder="1" applyAlignment="1">
      <alignment horizontal="center" vertical="center"/>
    </xf>
    <xf numFmtId="0" fontId="72" fillId="37" borderId="12" xfId="0" applyFont="1" applyFill="1" applyBorder="1" applyAlignment="1">
      <alignment horizontal="center" vertical="center"/>
    </xf>
    <xf numFmtId="0" fontId="72" fillId="37" borderId="1" xfId="0" applyFont="1" applyFill="1" applyBorder="1" applyAlignment="1">
      <alignment vertical="center"/>
    </xf>
    <xf numFmtId="0" fontId="72" fillId="0" borderId="15" xfId="0" applyFont="1" applyBorder="1" applyAlignment="1">
      <alignment vertical="center"/>
    </xf>
    <xf numFmtId="0" fontId="87" fillId="22" borderId="1" xfId="0" applyFont="1" applyFill="1" applyBorder="1" applyAlignment="1">
      <alignment horizontal="center" vertical="center"/>
    </xf>
    <xf numFmtId="0" fontId="78" fillId="0" borderId="15" xfId="0" applyFont="1" applyFill="1" applyBorder="1" applyAlignment="1">
      <alignment vertical="center"/>
    </xf>
    <xf numFmtId="0" fontId="87" fillId="38" borderId="1" xfId="0" applyFont="1" applyFill="1" applyBorder="1" applyAlignment="1">
      <alignment horizontal="center" vertical="center"/>
    </xf>
    <xf numFmtId="0" fontId="78" fillId="0" borderId="15" xfId="0" applyFont="1" applyBorder="1" applyAlignment="1">
      <alignment vertical="center"/>
    </xf>
    <xf numFmtId="9" fontId="55" fillId="0" borderId="1" xfId="0" applyNumberFormat="1" applyFont="1" applyBorder="1" applyAlignment="1">
      <alignment horizontal="center" vertical="center"/>
    </xf>
    <xf numFmtId="0" fontId="78" fillId="0" borderId="10" xfId="0" applyFont="1" applyBorder="1" applyAlignment="1">
      <alignment horizontal="center" vertical="center"/>
    </xf>
    <xf numFmtId="0" fontId="78" fillId="0" borderId="0" xfId="0" applyFont="1" applyBorder="1" applyAlignment="1">
      <alignment horizontal="center" vertical="center"/>
    </xf>
    <xf numFmtId="0" fontId="78" fillId="0" borderId="11" xfId="0" applyFont="1" applyBorder="1" applyAlignment="1">
      <alignment horizontal="center" vertical="center"/>
    </xf>
    <xf numFmtId="0" fontId="72" fillId="22" borderId="1" xfId="0" applyFont="1" applyFill="1" applyBorder="1" applyAlignment="1">
      <alignment horizontal="center" vertical="center"/>
    </xf>
    <xf numFmtId="0" fontId="72" fillId="41" borderId="1" xfId="0" applyFont="1" applyFill="1" applyBorder="1" applyAlignment="1">
      <alignment horizontal="center" vertical="center"/>
    </xf>
    <xf numFmtId="0" fontId="72" fillId="0" borderId="14" xfId="0" applyFont="1" applyBorder="1" applyAlignment="1">
      <alignment vertical="center"/>
    </xf>
    <xf numFmtId="1" fontId="50" fillId="22" borderId="1" xfId="0" applyNumberFormat="1" applyFont="1" applyFill="1" applyBorder="1" applyAlignment="1">
      <alignment horizontal="center" vertical="center"/>
    </xf>
    <xf numFmtId="170" fontId="50" fillId="22" borderId="1" xfId="0" applyNumberFormat="1" applyFont="1" applyFill="1" applyBorder="1" applyAlignment="1">
      <alignment horizontal="center" vertical="center"/>
    </xf>
    <xf numFmtId="170" fontId="50" fillId="41" borderId="1" xfId="0" applyNumberFormat="1" applyFont="1" applyFill="1" applyBorder="1" applyAlignment="1">
      <alignment horizontal="center" vertical="center"/>
    </xf>
    <xf numFmtId="1" fontId="50" fillId="41" borderId="1" xfId="0" applyNumberFormat="1" applyFont="1" applyFill="1" applyBorder="1" applyAlignment="1">
      <alignment horizontal="center" vertical="center"/>
    </xf>
    <xf numFmtId="0" fontId="72" fillId="11" borderId="10" xfId="0" applyFont="1" applyFill="1" applyBorder="1" applyAlignment="1">
      <alignment vertical="center"/>
    </xf>
    <xf numFmtId="0" fontId="72" fillId="11" borderId="0" xfId="0" applyFont="1" applyFill="1" applyBorder="1" applyAlignment="1">
      <alignment vertical="center"/>
    </xf>
    <xf numFmtId="0" fontId="78" fillId="11" borderId="14" xfId="0" applyFont="1" applyFill="1" applyBorder="1" applyAlignment="1">
      <alignment vertical="center"/>
    </xf>
    <xf numFmtId="0" fontId="78" fillId="11" borderId="12" xfId="0" applyFont="1" applyFill="1" applyBorder="1" applyAlignment="1">
      <alignment vertical="center"/>
    </xf>
    <xf numFmtId="0" fontId="78" fillId="11" borderId="13" xfId="0" applyFont="1" applyFill="1" applyBorder="1" applyAlignment="1">
      <alignment vertical="center"/>
    </xf>
    <xf numFmtId="0" fontId="78" fillId="11" borderId="9" xfId="0" applyFont="1" applyFill="1" applyBorder="1" applyAlignment="1">
      <alignment vertical="center"/>
    </xf>
    <xf numFmtId="0" fontId="49" fillId="0" borderId="10" xfId="0" applyFont="1" applyBorder="1"/>
    <xf numFmtId="9" fontId="78" fillId="0" borderId="0" xfId="1" applyFont="1" applyBorder="1" applyAlignment="1">
      <alignment vertical="center"/>
    </xf>
    <xf numFmtId="0" fontId="78" fillId="33" borderId="1" xfId="0" applyFont="1" applyFill="1" applyBorder="1" applyAlignment="1">
      <alignment vertical="center"/>
    </xf>
    <xf numFmtId="0" fontId="72" fillId="33" borderId="1" xfId="0" applyFont="1" applyFill="1" applyBorder="1" applyAlignment="1">
      <alignment horizontal="center" vertical="center"/>
    </xf>
    <xf numFmtId="0" fontId="78" fillId="33" borderId="12" xfId="0" applyFont="1" applyFill="1" applyBorder="1" applyAlignment="1">
      <alignment vertical="center"/>
    </xf>
    <xf numFmtId="0" fontId="72" fillId="0" borderId="1" xfId="0" applyFont="1" applyBorder="1" applyAlignment="1">
      <alignment horizontal="center" vertical="center"/>
    </xf>
    <xf numFmtId="0" fontId="72" fillId="0" borderId="0" xfId="0" applyFont="1" applyBorder="1" applyAlignment="1">
      <alignment horizontal="center" vertical="center"/>
    </xf>
    <xf numFmtId="0" fontId="78" fillId="0" borderId="1" xfId="0" applyFont="1" applyBorder="1" applyAlignment="1">
      <alignment vertical="center"/>
    </xf>
    <xf numFmtId="0" fontId="78" fillId="0" borderId="12" xfId="0" applyFont="1" applyBorder="1" applyAlignment="1">
      <alignment vertical="center"/>
    </xf>
    <xf numFmtId="0" fontId="78" fillId="0" borderId="1" xfId="0" applyFont="1" applyBorder="1" applyAlignment="1">
      <alignment horizontal="center" vertical="center"/>
    </xf>
    <xf numFmtId="1" fontId="73" fillId="5" borderId="12" xfId="0" applyNumberFormat="1" applyFont="1" applyFill="1" applyBorder="1" applyAlignment="1">
      <alignment vertical="center"/>
    </xf>
    <xf numFmtId="9" fontId="78" fillId="9" borderId="1" xfId="1" applyFont="1" applyFill="1" applyBorder="1" applyAlignment="1">
      <alignment horizontal="center" vertical="center"/>
    </xf>
    <xf numFmtId="0" fontId="80" fillId="11" borderId="1" xfId="0" applyFont="1" applyFill="1" applyBorder="1" applyAlignment="1">
      <alignment horizontal="center" vertical="center"/>
    </xf>
    <xf numFmtId="1" fontId="78" fillId="0" borderId="1" xfId="0" applyNumberFormat="1" applyFont="1" applyBorder="1" applyAlignment="1">
      <alignment horizontal="center" vertical="center"/>
    </xf>
    <xf numFmtId="0" fontId="78" fillId="0" borderId="1" xfId="0" quotePrefix="1" applyFont="1" applyBorder="1" applyAlignment="1">
      <alignment horizontal="center" vertical="center"/>
    </xf>
    <xf numFmtId="0" fontId="78" fillId="23" borderId="12" xfId="0" applyFont="1" applyFill="1" applyBorder="1" applyAlignment="1">
      <alignment vertical="center"/>
    </xf>
    <xf numFmtId="9" fontId="78" fillId="0" borderId="15" xfId="0" applyNumberFormat="1" applyFont="1" applyBorder="1" applyAlignment="1">
      <alignment vertical="center"/>
    </xf>
    <xf numFmtId="9" fontId="49" fillId="9" borderId="1" xfId="1" applyFont="1" applyFill="1" applyBorder="1" applyAlignment="1">
      <alignment horizontal="center"/>
    </xf>
    <xf numFmtId="1" fontId="81" fillId="0" borderId="1" xfId="0" applyNumberFormat="1" applyFont="1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49" fillId="0" borderId="1" xfId="0" applyFont="1" applyBorder="1" applyAlignment="1">
      <alignment horizontal="center"/>
    </xf>
    <xf numFmtId="1" fontId="78" fillId="7" borderId="1" xfId="0" applyNumberFormat="1" applyFont="1" applyFill="1" applyBorder="1" applyAlignment="1">
      <alignment horizontal="center" vertical="center"/>
    </xf>
    <xf numFmtId="170" fontId="78" fillId="7" borderId="1" xfId="0" applyNumberFormat="1" applyFont="1" applyFill="1" applyBorder="1" applyAlignment="1">
      <alignment horizontal="center" vertical="center"/>
    </xf>
    <xf numFmtId="170" fontId="78" fillId="7" borderId="1" xfId="0" applyNumberFormat="1" applyFont="1" applyFill="1" applyBorder="1" applyAlignment="1">
      <alignment horizontal="center"/>
    </xf>
    <xf numFmtId="0" fontId="78" fillId="7" borderId="1" xfId="0" applyFont="1" applyFill="1" applyBorder="1" applyAlignment="1">
      <alignment horizontal="center" vertical="center"/>
    </xf>
    <xf numFmtId="170" fontId="78" fillId="0" borderId="1" xfId="0" applyNumberFormat="1" applyFont="1" applyBorder="1" applyAlignment="1">
      <alignment horizontal="center" vertical="center"/>
    </xf>
    <xf numFmtId="0" fontId="78" fillId="0" borderId="2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/>
    </xf>
    <xf numFmtId="0" fontId="78" fillId="0" borderId="3" xfId="0" applyFont="1" applyBorder="1" applyAlignment="1">
      <alignment horizontal="center" vertical="center"/>
    </xf>
    <xf numFmtId="0" fontId="78" fillId="0" borderId="4" xfId="0" applyFont="1" applyBorder="1" applyAlignment="1">
      <alignment horizontal="center" vertical="center"/>
    </xf>
    <xf numFmtId="0" fontId="49" fillId="0" borderId="4" xfId="0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0" fontId="78" fillId="0" borderId="3" xfId="0" applyFont="1" applyBorder="1" applyAlignment="1">
      <alignment vertical="center"/>
    </xf>
    <xf numFmtId="0" fontId="49" fillId="0" borderId="4" xfId="0" applyFont="1" applyBorder="1"/>
    <xf numFmtId="0" fontId="49" fillId="0" borderId="5" xfId="0" applyFont="1" applyBorder="1"/>
    <xf numFmtId="0" fontId="49" fillId="0" borderId="7" xfId="0" applyFont="1" applyBorder="1"/>
    <xf numFmtId="0" fontId="49" fillId="0" borderId="8" xfId="0" applyFont="1" applyBorder="1"/>
    <xf numFmtId="0" fontId="78" fillId="21" borderId="1" xfId="0" applyFont="1" applyFill="1" applyBorder="1" applyAlignment="1">
      <alignment vertical="center"/>
    </xf>
    <xf numFmtId="0" fontId="72" fillId="21" borderId="1" xfId="0" applyFont="1" applyFill="1" applyBorder="1" applyAlignment="1">
      <alignment horizontal="center" vertical="center"/>
    </xf>
    <xf numFmtId="0" fontId="78" fillId="21" borderId="12" xfId="0" applyFont="1" applyFill="1" applyBorder="1" applyAlignment="1">
      <alignment vertical="center"/>
    </xf>
    <xf numFmtId="0" fontId="49" fillId="0" borderId="1" xfId="0" applyFont="1" applyBorder="1"/>
    <xf numFmtId="1" fontId="78" fillId="37" borderId="1" xfId="0" applyNumberFormat="1" applyFont="1" applyFill="1" applyBorder="1" applyAlignment="1">
      <alignment horizontal="center" vertical="center"/>
    </xf>
    <xf numFmtId="170" fontId="78" fillId="37" borderId="1" xfId="0" applyNumberFormat="1" applyFont="1" applyFill="1" applyBorder="1" applyAlignment="1">
      <alignment horizontal="center" vertical="center"/>
    </xf>
    <xf numFmtId="170" fontId="78" fillId="37" borderId="1" xfId="0" applyNumberFormat="1" applyFont="1" applyFill="1" applyBorder="1" applyAlignment="1">
      <alignment horizontal="center"/>
    </xf>
    <xf numFmtId="0" fontId="78" fillId="37" borderId="1" xfId="0" applyFont="1" applyFill="1" applyBorder="1" applyAlignment="1">
      <alignment horizontal="center" vertical="center"/>
    </xf>
    <xf numFmtId="0" fontId="78" fillId="24" borderId="1" xfId="0" applyFont="1" applyFill="1" applyBorder="1" applyAlignment="1">
      <alignment vertical="center"/>
    </xf>
    <xf numFmtId="170" fontId="78" fillId="24" borderId="1" xfId="0" applyNumberFormat="1" applyFont="1" applyFill="1" applyBorder="1" applyAlignment="1">
      <alignment horizontal="center" vertical="center"/>
    </xf>
    <xf numFmtId="0" fontId="78" fillId="24" borderId="1" xfId="0" quotePrefix="1" applyFont="1" applyFill="1" applyBorder="1" applyAlignment="1">
      <alignment horizontal="center" vertical="center"/>
    </xf>
    <xf numFmtId="0" fontId="104" fillId="0" borderId="1" xfId="0" applyFont="1" applyBorder="1" applyAlignment="1">
      <alignment horizontal="center" vertical="center"/>
    </xf>
    <xf numFmtId="0" fontId="78" fillId="0" borderId="14" xfId="0" applyFont="1" applyBorder="1" applyAlignment="1">
      <alignment vertical="center"/>
    </xf>
    <xf numFmtId="0" fontId="72" fillId="0" borderId="1" xfId="0" applyFont="1" applyBorder="1" applyAlignment="1">
      <alignment vertical="center"/>
    </xf>
    <xf numFmtId="0" fontId="72" fillId="10" borderId="1" xfId="0" applyFont="1" applyFill="1" applyBorder="1" applyAlignment="1" applyProtection="1">
      <alignment horizontal="center" vertical="center"/>
      <protection locked="0"/>
    </xf>
    <xf numFmtId="0" fontId="78" fillId="23" borderId="1" xfId="0" applyFont="1" applyFill="1" applyBorder="1" applyAlignment="1" applyProtection="1">
      <alignment horizontal="center" vertical="center"/>
      <protection locked="0"/>
    </xf>
    <xf numFmtId="0" fontId="78" fillId="8" borderId="1" xfId="0" applyFont="1" applyFill="1" applyBorder="1" applyAlignment="1" applyProtection="1">
      <alignment horizontal="center" vertical="center"/>
      <protection locked="0"/>
    </xf>
    <xf numFmtId="0" fontId="78" fillId="0" borderId="10" xfId="0" applyFont="1" applyBorder="1" applyAlignment="1" applyProtection="1">
      <alignment vertical="center"/>
      <protection locked="0"/>
    </xf>
    <xf numFmtId="0" fontId="78" fillId="0" borderId="0" xfId="0" applyFont="1" applyAlignment="1" applyProtection="1">
      <alignment vertical="center"/>
      <protection locked="0"/>
    </xf>
    <xf numFmtId="0" fontId="78" fillId="0" borderId="0" xfId="0" applyFont="1" applyBorder="1" applyAlignment="1" applyProtection="1">
      <alignment vertical="center"/>
      <protection locked="0"/>
    </xf>
    <xf numFmtId="0" fontId="78" fillId="11" borderId="0" xfId="0" applyFont="1" applyFill="1" applyAlignment="1" applyProtection="1">
      <alignment vertical="center"/>
    </xf>
    <xf numFmtId="0" fontId="78" fillId="0" borderId="10" xfId="0" applyFont="1" applyBorder="1" applyAlignment="1" applyProtection="1">
      <alignment vertical="center"/>
    </xf>
    <xf numFmtId="0" fontId="78" fillId="0" borderId="0" xfId="0" applyFont="1" applyAlignment="1" applyProtection="1">
      <alignment vertical="center"/>
    </xf>
    <xf numFmtId="0" fontId="78" fillId="0" borderId="0" xfId="0" applyFont="1" applyBorder="1" applyAlignment="1" applyProtection="1">
      <alignment vertical="center"/>
    </xf>
    <xf numFmtId="0" fontId="87" fillId="22" borderId="1" xfId="0" applyFont="1" applyFill="1" applyBorder="1" applyAlignment="1" applyProtection="1">
      <alignment horizontal="center" vertical="center"/>
      <protection locked="0"/>
    </xf>
    <xf numFmtId="1" fontId="50" fillId="22" borderId="1" xfId="0" applyNumberFormat="1" applyFont="1" applyFill="1" applyBorder="1" applyAlignment="1" applyProtection="1">
      <alignment horizontal="center" vertical="center"/>
      <protection locked="0"/>
    </xf>
    <xf numFmtId="170" fontId="50" fillId="22" borderId="1" xfId="0" applyNumberFormat="1" applyFont="1" applyFill="1" applyBorder="1" applyAlignment="1" applyProtection="1">
      <alignment horizontal="center" vertical="center"/>
      <protection locked="0"/>
    </xf>
    <xf numFmtId="9" fontId="55" fillId="0" borderId="1" xfId="0" applyNumberFormat="1" applyFont="1" applyBorder="1" applyAlignment="1" applyProtection="1">
      <alignment horizontal="center" vertical="center"/>
      <protection locked="0"/>
    </xf>
    <xf numFmtId="0" fontId="87" fillId="38" borderId="1" xfId="0" applyFont="1" applyFill="1" applyBorder="1" applyAlignment="1" applyProtection="1">
      <alignment horizontal="center" vertical="center"/>
      <protection locked="0"/>
    </xf>
    <xf numFmtId="170" fontId="50" fillId="41" borderId="1" xfId="0" applyNumberFormat="1" applyFont="1" applyFill="1" applyBorder="1" applyAlignment="1" applyProtection="1">
      <alignment horizontal="center" vertical="center"/>
      <protection locked="0"/>
    </xf>
    <xf numFmtId="1" fontId="50" fillId="41" borderId="1" xfId="0" applyNumberFormat="1" applyFont="1" applyFill="1" applyBorder="1" applyAlignment="1" applyProtection="1">
      <alignment horizontal="center" vertical="center"/>
      <protection locked="0"/>
    </xf>
    <xf numFmtId="0" fontId="76" fillId="32" borderId="0" xfId="0" applyFont="1" applyFill="1" applyAlignment="1">
      <alignment horizontal="centerContinuous" vertical="center"/>
    </xf>
    <xf numFmtId="0" fontId="78" fillId="11" borderId="2" xfId="0" applyFont="1" applyFill="1" applyBorder="1" applyAlignment="1">
      <alignment vertical="center"/>
    </xf>
    <xf numFmtId="0" fontId="78" fillId="0" borderId="1" xfId="0" applyFont="1" applyBorder="1" applyAlignment="1" applyProtection="1">
      <alignment horizontal="center" vertical="center"/>
      <protection locked="0"/>
    </xf>
    <xf numFmtId="0" fontId="78" fillId="0" borderId="18" xfId="0" applyFont="1" applyFill="1" applyBorder="1" applyAlignment="1">
      <alignment vertical="center"/>
    </xf>
    <xf numFmtId="0" fontId="0" fillId="0" borderId="0" xfId="0" applyAlignment="1">
      <alignment vertical="center"/>
    </xf>
    <xf numFmtId="1" fontId="106" fillId="0" borderId="12" xfId="0" applyNumberFormat="1" applyFont="1" applyFill="1" applyBorder="1" applyAlignment="1">
      <alignment horizontal="center" vertical="center"/>
    </xf>
    <xf numFmtId="1" fontId="106" fillId="0" borderId="13" xfId="0" applyNumberFormat="1" applyFont="1" applyFill="1" applyBorder="1" applyAlignment="1">
      <alignment horizontal="center" vertical="center"/>
    </xf>
    <xf numFmtId="1" fontId="106" fillId="0" borderId="9" xfId="0" applyNumberFormat="1" applyFont="1" applyFill="1" applyBorder="1" applyAlignment="1">
      <alignment horizontal="center" vertical="center"/>
    </xf>
    <xf numFmtId="0" fontId="106" fillId="0" borderId="12" xfId="0" applyFont="1" applyFill="1" applyBorder="1" applyAlignment="1">
      <alignment horizontal="center" vertical="center"/>
    </xf>
    <xf numFmtId="0" fontId="106" fillId="0" borderId="54" xfId="0" applyFont="1" applyFill="1" applyBorder="1" applyAlignment="1">
      <alignment horizontal="center" vertical="center"/>
    </xf>
    <xf numFmtId="0" fontId="106" fillId="0" borderId="0" xfId="0" applyFont="1" applyFill="1" applyBorder="1" applyAlignment="1">
      <alignment vertical="center"/>
    </xf>
    <xf numFmtId="0" fontId="106" fillId="0" borderId="10" xfId="0" applyFont="1" applyFill="1" applyBorder="1" applyAlignment="1">
      <alignment vertical="center"/>
    </xf>
    <xf numFmtId="9" fontId="106" fillId="0" borderId="12" xfId="0" applyNumberFormat="1" applyFont="1" applyFill="1" applyBorder="1" applyAlignment="1">
      <alignment horizontal="center" vertical="center"/>
    </xf>
    <xf numFmtId="0" fontId="106" fillId="0" borderId="12" xfId="0" applyFont="1" applyFill="1" applyBorder="1" applyAlignment="1">
      <alignment vertical="center"/>
    </xf>
    <xf numFmtId="1" fontId="106" fillId="0" borderId="12" xfId="0" applyNumberFormat="1" applyFont="1" applyFill="1" applyBorder="1" applyAlignment="1" applyProtection="1">
      <alignment horizontal="center" vertical="center"/>
      <protection locked="0"/>
    </xf>
    <xf numFmtId="1" fontId="106" fillId="0" borderId="13" xfId="0" applyNumberFormat="1" applyFont="1" applyFill="1" applyBorder="1" applyAlignment="1" applyProtection="1">
      <alignment horizontal="center" vertical="center"/>
      <protection locked="0"/>
    </xf>
    <xf numFmtId="1" fontId="106" fillId="0" borderId="68" xfId="0" applyNumberFormat="1" applyFont="1" applyFill="1" applyBorder="1" applyAlignment="1">
      <alignment horizontal="center" vertical="center"/>
    </xf>
    <xf numFmtId="1" fontId="106" fillId="0" borderId="151" xfId="0" applyNumberFormat="1" applyFont="1" applyFill="1" applyBorder="1" applyAlignment="1">
      <alignment horizontal="center" vertical="center"/>
    </xf>
    <xf numFmtId="1" fontId="108" fillId="0" borderId="6" xfId="0" applyNumberFormat="1" applyFont="1" applyFill="1" applyBorder="1" applyAlignment="1">
      <alignment horizontal="center" vertical="center"/>
    </xf>
    <xf numFmtId="0" fontId="108" fillId="0" borderId="0" xfId="0" applyFont="1" applyFill="1" applyBorder="1" applyAlignment="1">
      <alignment vertical="center"/>
    </xf>
    <xf numFmtId="0" fontId="106" fillId="0" borderId="4" xfId="0" applyFont="1" applyFill="1" applyBorder="1" applyAlignment="1">
      <alignment horizontal="left" vertical="center"/>
    </xf>
    <xf numFmtId="0" fontId="108" fillId="0" borderId="0" xfId="0" applyFont="1" applyFill="1" applyBorder="1" applyAlignment="1">
      <alignment horizontal="left" vertical="center"/>
    </xf>
    <xf numFmtId="0" fontId="106" fillId="0" borderId="0" xfId="0" applyFont="1" applyFill="1" applyBorder="1" applyAlignment="1">
      <alignment horizontal="left" vertical="center"/>
    </xf>
    <xf numFmtId="0" fontId="106" fillId="0" borderId="7" xfId="0" applyFont="1" applyFill="1" applyBorder="1" applyAlignment="1">
      <alignment horizontal="left" vertical="center"/>
    </xf>
    <xf numFmtId="0" fontId="106" fillId="0" borderId="30" xfId="0" applyFont="1" applyFill="1" applyBorder="1" applyAlignment="1">
      <alignment horizontal="left" vertical="center"/>
    </xf>
    <xf numFmtId="0" fontId="106" fillId="0" borderId="56" xfId="0" applyFont="1" applyFill="1" applyBorder="1" applyAlignment="1">
      <alignment horizontal="left" vertical="center"/>
    </xf>
    <xf numFmtId="0" fontId="106" fillId="0" borderId="11" xfId="0" applyFont="1" applyFill="1" applyBorder="1" applyAlignment="1">
      <alignment horizontal="left" vertical="center"/>
    </xf>
    <xf numFmtId="0" fontId="106" fillId="0" borderId="8" xfId="0" applyFont="1" applyFill="1" applyBorder="1" applyAlignment="1">
      <alignment horizontal="left" vertical="center"/>
    </xf>
    <xf numFmtId="0" fontId="106" fillId="0" borderId="150" xfId="0" applyFont="1" applyFill="1" applyBorder="1" applyAlignment="1">
      <alignment horizontal="left" vertical="center"/>
    </xf>
    <xf numFmtId="0" fontId="82" fillId="0" borderId="13" xfId="0" applyFont="1" applyFill="1" applyBorder="1" applyAlignment="1">
      <alignment vertical="center"/>
    </xf>
    <xf numFmtId="0" fontId="110" fillId="0" borderId="18" xfId="0" applyFont="1" applyFill="1" applyBorder="1" applyAlignment="1">
      <alignment vertical="center"/>
    </xf>
    <xf numFmtId="0" fontId="110" fillId="0" borderId="0" xfId="0" applyFont="1" applyFill="1" applyBorder="1" applyAlignment="1">
      <alignment vertical="center"/>
    </xf>
    <xf numFmtId="0" fontId="110" fillId="0" borderId="11" xfId="0" applyFont="1" applyFill="1" applyBorder="1" applyAlignment="1">
      <alignment horizontal="left" vertical="center"/>
    </xf>
    <xf numFmtId="0" fontId="110" fillId="0" borderId="150" xfId="0" applyFont="1" applyFill="1" applyBorder="1" applyAlignment="1">
      <alignment vertical="center"/>
    </xf>
    <xf numFmtId="0" fontId="62" fillId="0" borderId="62" xfId="0" applyFont="1" applyFill="1" applyBorder="1" applyAlignment="1">
      <alignment horizontal="centerContinuous" vertical="center"/>
    </xf>
    <xf numFmtId="0" fontId="70" fillId="0" borderId="153" xfId="0" applyFont="1" applyBorder="1" applyAlignment="1" applyProtection="1">
      <alignment horizontal="center" vertical="center"/>
      <protection locked="0"/>
    </xf>
    <xf numFmtId="0" fontId="58" fillId="35" borderId="154" xfId="0" applyFont="1" applyFill="1" applyBorder="1" applyAlignment="1" applyProtection="1">
      <alignment horizontal="center" vertical="center"/>
      <protection locked="0"/>
    </xf>
    <xf numFmtId="0" fontId="78" fillId="0" borderId="57" xfId="0" applyFont="1" applyFill="1" applyBorder="1" applyAlignment="1">
      <alignment vertical="center"/>
    </xf>
    <xf numFmtId="0" fontId="73" fillId="0" borderId="51" xfId="0" applyFont="1" applyFill="1" applyBorder="1" applyAlignment="1">
      <alignment horizontal="center" vertical="center"/>
    </xf>
    <xf numFmtId="0" fontId="111" fillId="0" borderId="29" xfId="0" applyFont="1" applyFill="1" applyBorder="1" applyAlignment="1">
      <alignment vertical="center"/>
    </xf>
    <xf numFmtId="0" fontId="49" fillId="11" borderId="55" xfId="0" applyFont="1" applyFill="1" applyBorder="1"/>
    <xf numFmtId="0" fontId="58" fillId="34" borderId="46" xfId="0" applyFont="1" applyFill="1" applyBorder="1" applyAlignment="1" applyProtection="1">
      <alignment horizontal="center" vertical="center"/>
      <protection locked="0"/>
    </xf>
    <xf numFmtId="0" fontId="78" fillId="0" borderId="46" xfId="0" applyFont="1" applyBorder="1" applyAlignment="1">
      <alignment vertical="center"/>
    </xf>
    <xf numFmtId="0" fontId="111" fillId="0" borderId="58" xfId="0" applyFont="1" applyFill="1" applyBorder="1" applyAlignment="1">
      <alignment vertical="center"/>
    </xf>
    <xf numFmtId="0" fontId="111" fillId="0" borderId="150" xfId="0" applyFont="1" applyFill="1" applyBorder="1" applyAlignment="1">
      <alignment vertical="center"/>
    </xf>
    <xf numFmtId="0" fontId="62" fillId="0" borderId="56" xfId="0" applyFont="1" applyFill="1" applyBorder="1" applyAlignment="1">
      <alignment horizontal="centerContinuous" vertical="center"/>
    </xf>
    <xf numFmtId="0" fontId="78" fillId="0" borderId="47" xfId="0" applyFont="1" applyBorder="1" applyAlignment="1">
      <alignment vertical="center"/>
    </xf>
    <xf numFmtId="9" fontId="58" fillId="35" borderId="51" xfId="1" applyFont="1" applyFill="1" applyBorder="1" applyAlignment="1" applyProtection="1">
      <alignment horizontal="center" vertical="center"/>
      <protection locked="0"/>
    </xf>
    <xf numFmtId="0" fontId="78" fillId="0" borderId="42" xfId="0" applyFont="1" applyBorder="1" applyAlignment="1">
      <alignment vertical="center"/>
    </xf>
    <xf numFmtId="0" fontId="70" fillId="0" borderId="29" xfId="0" applyFont="1" applyBorder="1" applyAlignment="1" applyProtection="1">
      <alignment horizontal="center" vertical="center"/>
      <protection locked="0"/>
    </xf>
    <xf numFmtId="0" fontId="73" fillId="0" borderId="57" xfId="0" applyFont="1" applyFill="1" applyBorder="1" applyAlignment="1">
      <alignment vertical="center"/>
    </xf>
    <xf numFmtId="0" fontId="78" fillId="0" borderId="1" xfId="0" applyFont="1" applyBorder="1" applyAlignment="1">
      <alignment horizontal="center"/>
    </xf>
    <xf numFmtId="0" fontId="78" fillId="0" borderId="0" xfId="0" applyFont="1" applyBorder="1" applyAlignment="1" applyProtection="1">
      <alignment vertical="center"/>
      <protection hidden="1"/>
    </xf>
    <xf numFmtId="0" fontId="78" fillId="0" borderId="0" xfId="0" applyFont="1" applyAlignment="1" applyProtection="1">
      <alignment vertical="center"/>
      <protection hidden="1"/>
    </xf>
    <xf numFmtId="0" fontId="78" fillId="0" borderId="10" xfId="0" applyFont="1" applyBorder="1" applyAlignment="1" applyProtection="1">
      <alignment vertical="center"/>
      <protection hidden="1"/>
    </xf>
    <xf numFmtId="0" fontId="104" fillId="2" borderId="1" xfId="0" applyFont="1" applyFill="1" applyBorder="1" applyAlignment="1" applyProtection="1">
      <alignment horizontal="left" vertical="center"/>
      <protection hidden="1"/>
    </xf>
    <xf numFmtId="0" fontId="104" fillId="2" borderId="1" xfId="0" applyFont="1" applyFill="1" applyBorder="1" applyAlignment="1" applyProtection="1">
      <alignment vertical="center"/>
      <protection hidden="1"/>
    </xf>
    <xf numFmtId="0" fontId="78" fillId="0" borderId="1" xfId="0" applyFont="1" applyBorder="1" applyAlignment="1" applyProtection="1">
      <alignment vertical="center"/>
      <protection hidden="1"/>
    </xf>
    <xf numFmtId="9" fontId="78" fillId="0" borderId="1" xfId="1" applyNumberFormat="1" applyFont="1" applyBorder="1" applyAlignment="1" applyProtection="1">
      <alignment vertical="center"/>
      <protection hidden="1"/>
    </xf>
    <xf numFmtId="0" fontId="104" fillId="9" borderId="1" xfId="0" applyFont="1" applyFill="1" applyBorder="1" applyAlignment="1" applyProtection="1">
      <alignment horizontal="center" vertical="center"/>
      <protection hidden="1"/>
    </xf>
    <xf numFmtId="1" fontId="72" fillId="5" borderId="1" xfId="0" applyNumberFormat="1" applyFont="1" applyFill="1" applyBorder="1" applyAlignment="1" applyProtection="1">
      <alignment vertical="center"/>
      <protection hidden="1"/>
    </xf>
    <xf numFmtId="1" fontId="111" fillId="0" borderId="1" xfId="0" applyNumberFormat="1" applyFont="1" applyFill="1" applyBorder="1" applyAlignment="1" applyProtection="1">
      <alignment horizontal="center" vertical="center"/>
      <protection hidden="1"/>
    </xf>
    <xf numFmtId="2" fontId="104" fillId="8" borderId="1" xfId="0" applyNumberFormat="1" applyFont="1" applyFill="1" applyBorder="1" applyAlignment="1" applyProtection="1">
      <alignment horizontal="center" vertical="center"/>
      <protection hidden="1"/>
    </xf>
    <xf numFmtId="0" fontId="78" fillId="0" borderId="1" xfId="0" quotePrefix="1" applyFont="1" applyBorder="1" applyAlignment="1" applyProtection="1">
      <alignment horizontal="center" vertical="center"/>
      <protection hidden="1"/>
    </xf>
    <xf numFmtId="0" fontId="78" fillId="10" borderId="1" xfId="0" applyFont="1" applyFill="1" applyBorder="1" applyAlignment="1" applyProtection="1">
      <alignment vertical="center"/>
      <protection hidden="1"/>
    </xf>
    <xf numFmtId="0" fontId="81" fillId="11" borderId="1" xfId="0" applyFont="1" applyFill="1" applyBorder="1" applyAlignment="1" applyProtection="1">
      <alignment horizontal="left" vertical="center"/>
      <protection hidden="1"/>
    </xf>
    <xf numFmtId="1" fontId="111" fillId="11" borderId="1" xfId="0" applyNumberFormat="1" applyFont="1" applyFill="1" applyBorder="1" applyAlignment="1" applyProtection="1">
      <alignment horizontal="center" vertical="center"/>
      <protection hidden="1"/>
    </xf>
    <xf numFmtId="0" fontId="104" fillId="11" borderId="1" xfId="0" applyFont="1" applyFill="1" applyBorder="1" applyAlignment="1" applyProtection="1">
      <alignment horizontal="center" vertical="center"/>
      <protection hidden="1"/>
    </xf>
    <xf numFmtId="0" fontId="78" fillId="11" borderId="1" xfId="0" quotePrefix="1" applyFont="1" applyFill="1" applyBorder="1" applyAlignment="1" applyProtection="1">
      <alignment horizontal="center" vertical="center"/>
      <protection hidden="1"/>
    </xf>
    <xf numFmtId="0" fontId="78" fillId="11" borderId="1" xfId="0" applyFont="1" applyFill="1" applyBorder="1" applyAlignment="1" applyProtection="1">
      <alignment vertical="center"/>
      <protection hidden="1"/>
    </xf>
    <xf numFmtId="0" fontId="81" fillId="12" borderId="1" xfId="0" applyFont="1" applyFill="1" applyBorder="1" applyAlignment="1" applyProtection="1">
      <alignment horizontal="left" vertical="center"/>
      <protection hidden="1"/>
    </xf>
    <xf numFmtId="1" fontId="111" fillId="12" borderId="1" xfId="0" applyNumberFormat="1" applyFont="1" applyFill="1" applyBorder="1" applyAlignment="1" applyProtection="1">
      <alignment horizontal="center" vertical="center"/>
      <protection hidden="1"/>
    </xf>
    <xf numFmtId="170" fontId="104" fillId="12" borderId="1" xfId="0" applyNumberFormat="1" applyFont="1" applyFill="1" applyBorder="1" applyAlignment="1" applyProtection="1">
      <alignment horizontal="center" vertical="center"/>
      <protection hidden="1"/>
    </xf>
    <xf numFmtId="0" fontId="78" fillId="12" borderId="1" xfId="0" quotePrefix="1" applyFont="1" applyFill="1" applyBorder="1" applyAlignment="1" applyProtection="1">
      <alignment horizontal="center" vertical="center"/>
      <protection hidden="1"/>
    </xf>
    <xf numFmtId="0" fontId="78" fillId="12" borderId="1" xfId="0" applyFont="1" applyFill="1" applyBorder="1" applyAlignment="1" applyProtection="1">
      <alignment vertical="center"/>
      <protection hidden="1"/>
    </xf>
    <xf numFmtId="0" fontId="81" fillId="18" borderId="1" xfId="0" applyFont="1" applyFill="1" applyBorder="1" applyAlignment="1" applyProtection="1">
      <alignment horizontal="left" vertical="center"/>
      <protection hidden="1"/>
    </xf>
    <xf numFmtId="1" fontId="111" fillId="18" borderId="1" xfId="0" applyNumberFormat="1" applyFont="1" applyFill="1" applyBorder="1" applyAlignment="1" applyProtection="1">
      <alignment horizontal="center" vertical="center"/>
      <protection hidden="1"/>
    </xf>
    <xf numFmtId="0" fontId="78" fillId="18" borderId="1" xfId="0" quotePrefix="1" applyFont="1" applyFill="1" applyBorder="1" applyAlignment="1" applyProtection="1">
      <alignment horizontal="center" vertical="center"/>
      <protection hidden="1"/>
    </xf>
    <xf numFmtId="0" fontId="78" fillId="18" borderId="1" xfId="0" applyFont="1" applyFill="1" applyBorder="1" applyAlignment="1" applyProtection="1">
      <alignment vertical="center"/>
      <protection hidden="1"/>
    </xf>
    <xf numFmtId="0" fontId="81" fillId="22" borderId="1" xfId="0" applyFont="1" applyFill="1" applyBorder="1" applyAlignment="1" applyProtection="1">
      <alignment horizontal="left" vertical="center"/>
      <protection hidden="1"/>
    </xf>
    <xf numFmtId="0" fontId="78" fillId="22" borderId="1" xfId="0" quotePrefix="1" applyFont="1" applyFill="1" applyBorder="1" applyAlignment="1" applyProtection="1">
      <alignment horizontal="center" vertical="center"/>
      <protection hidden="1"/>
    </xf>
    <xf numFmtId="0" fontId="78" fillId="22" borderId="1" xfId="0" applyFont="1" applyFill="1" applyBorder="1" applyAlignment="1" applyProtection="1">
      <alignment vertical="center"/>
      <protection hidden="1"/>
    </xf>
    <xf numFmtId="0" fontId="78" fillId="22" borderId="1" xfId="0" applyFont="1" applyFill="1" applyBorder="1" applyAlignment="1" applyProtection="1">
      <alignment horizontal="left" vertical="center"/>
      <protection hidden="1"/>
    </xf>
    <xf numFmtId="0" fontId="78" fillId="0" borderId="6" xfId="0" applyFont="1" applyBorder="1" applyAlignment="1" applyProtection="1">
      <alignment vertical="center"/>
      <protection hidden="1"/>
    </xf>
    <xf numFmtId="0" fontId="78" fillId="0" borderId="7" xfId="0" applyFont="1" applyBorder="1" applyAlignment="1" applyProtection="1">
      <alignment vertical="center"/>
      <protection hidden="1"/>
    </xf>
    <xf numFmtId="0" fontId="81" fillId="2" borderId="1" xfId="0" applyFont="1" applyFill="1" applyBorder="1" applyAlignment="1" applyProtection="1">
      <alignment horizontal="left" vertical="center" wrapText="1"/>
      <protection hidden="1"/>
    </xf>
    <xf numFmtId="0" fontId="81" fillId="2" borderId="1" xfId="0" applyFont="1" applyFill="1" applyBorder="1" applyAlignment="1" applyProtection="1">
      <alignment horizontal="center" vertical="center" wrapText="1"/>
      <protection hidden="1"/>
    </xf>
    <xf numFmtId="0" fontId="81" fillId="2" borderId="1" xfId="0" applyFont="1" applyFill="1" applyBorder="1" applyAlignment="1" applyProtection="1">
      <alignment vertical="center" wrapText="1"/>
      <protection hidden="1"/>
    </xf>
    <xf numFmtId="0" fontId="72" fillId="0" borderId="1" xfId="0" applyFont="1" applyBorder="1" applyAlignment="1" applyProtection="1">
      <alignment vertical="center" wrapText="1"/>
      <protection hidden="1"/>
    </xf>
    <xf numFmtId="0" fontId="72" fillId="0" borderId="0" xfId="0" applyFont="1" applyAlignment="1" applyProtection="1">
      <alignment vertical="center"/>
      <protection hidden="1"/>
    </xf>
    <xf numFmtId="0" fontId="78" fillId="0" borderId="0" xfId="0" applyFont="1" applyBorder="1" applyAlignment="1" applyProtection="1">
      <alignment horizontal="center" vertical="center"/>
      <protection hidden="1"/>
    </xf>
    <xf numFmtId="0" fontId="104" fillId="2" borderId="1" xfId="0" applyFont="1" applyFill="1" applyBorder="1" applyAlignment="1" applyProtection="1">
      <alignment horizontal="center" vertical="center"/>
      <protection hidden="1"/>
    </xf>
    <xf numFmtId="0" fontId="78" fillId="0" borderId="1" xfId="0" applyFont="1" applyBorder="1" applyAlignment="1" applyProtection="1">
      <alignment horizontal="center" vertical="center"/>
      <protection hidden="1"/>
    </xf>
    <xf numFmtId="0" fontId="78" fillId="0" borderId="0" xfId="0" applyFont="1" applyAlignment="1" applyProtection="1">
      <alignment horizontal="center" vertical="center"/>
      <protection hidden="1"/>
    </xf>
    <xf numFmtId="0" fontId="81" fillId="2" borderId="1" xfId="0" applyFont="1" applyFill="1" applyBorder="1" applyAlignment="1" applyProtection="1">
      <alignment horizontal="left" vertical="center"/>
      <protection hidden="1"/>
    </xf>
    <xf numFmtId="165" fontId="104" fillId="2" borderId="1" xfId="0" applyNumberFormat="1" applyFont="1" applyFill="1" applyBorder="1" applyAlignment="1" applyProtection="1">
      <alignment horizontal="center" vertical="center"/>
      <protection hidden="1"/>
    </xf>
    <xf numFmtId="165" fontId="112" fillId="2" borderId="1" xfId="0" applyNumberFormat="1" applyFont="1" applyFill="1" applyBorder="1" applyAlignment="1" applyProtection="1">
      <alignment horizontal="center" vertical="center"/>
      <protection hidden="1"/>
    </xf>
    <xf numFmtId="165" fontId="81" fillId="2" borderId="1" xfId="0" applyNumberFormat="1" applyFont="1" applyFill="1" applyBorder="1" applyAlignment="1" applyProtection="1">
      <alignment horizontal="center" vertical="center"/>
      <protection hidden="1"/>
    </xf>
    <xf numFmtId="165" fontId="104" fillId="5" borderId="1" xfId="0" applyNumberFormat="1" applyFont="1" applyFill="1" applyBorder="1" applyAlignment="1" applyProtection="1">
      <alignment horizontal="center" vertical="center"/>
      <protection hidden="1"/>
    </xf>
    <xf numFmtId="166" fontId="104" fillId="2" borderId="1" xfId="0" applyNumberFormat="1" applyFont="1" applyFill="1" applyBorder="1" applyAlignment="1" applyProtection="1">
      <alignment horizontal="center" vertical="center"/>
      <protection hidden="1"/>
    </xf>
    <xf numFmtId="0" fontId="80" fillId="2" borderId="1" xfId="0" applyFont="1" applyFill="1" applyBorder="1" applyAlignment="1" applyProtection="1">
      <alignment horizontal="left" vertical="center"/>
      <protection hidden="1"/>
    </xf>
    <xf numFmtId="167" fontId="111" fillId="2" borderId="1" xfId="0" applyNumberFormat="1" applyFont="1" applyFill="1" applyBorder="1" applyAlignment="1" applyProtection="1">
      <alignment horizontal="center" vertical="center"/>
      <protection hidden="1"/>
    </xf>
    <xf numFmtId="167" fontId="111" fillId="5" borderId="1" xfId="0" applyNumberFormat="1" applyFont="1" applyFill="1" applyBorder="1" applyAlignment="1" applyProtection="1">
      <alignment horizontal="center" vertical="center"/>
      <protection hidden="1"/>
    </xf>
    <xf numFmtId="168" fontId="81" fillId="3" borderId="1" xfId="0" applyNumberFormat="1" applyFont="1" applyFill="1" applyBorder="1" applyAlignment="1" applyProtection="1">
      <alignment horizontal="center" vertical="center"/>
      <protection hidden="1"/>
    </xf>
    <xf numFmtId="168" fontId="81" fillId="4" borderId="1" xfId="0" applyNumberFormat="1" applyFont="1" applyFill="1" applyBorder="1" applyAlignment="1" applyProtection="1">
      <alignment vertical="center"/>
      <protection hidden="1"/>
    </xf>
    <xf numFmtId="168" fontId="81" fillId="6" borderId="1" xfId="0" applyNumberFormat="1" applyFont="1" applyFill="1" applyBorder="1" applyAlignment="1" applyProtection="1">
      <alignment vertical="center"/>
      <protection hidden="1"/>
    </xf>
    <xf numFmtId="168" fontId="80" fillId="4" borderId="1" xfId="0" applyNumberFormat="1" applyFont="1" applyFill="1" applyBorder="1" applyAlignment="1" applyProtection="1">
      <alignment vertical="center"/>
      <protection hidden="1"/>
    </xf>
    <xf numFmtId="0" fontId="80" fillId="2" borderId="1" xfId="0" applyFont="1" applyFill="1" applyBorder="1" applyAlignment="1">
      <alignment horizontal="left"/>
    </xf>
    <xf numFmtId="167" fontId="111" fillId="2" borderId="1" xfId="0" applyNumberFormat="1" applyFont="1" applyFill="1" applyBorder="1" applyAlignment="1">
      <alignment horizontal="center"/>
    </xf>
    <xf numFmtId="167" fontId="111" fillId="5" borderId="1" xfId="0" applyNumberFormat="1" applyFont="1" applyFill="1" applyBorder="1" applyAlignment="1">
      <alignment horizontal="center"/>
    </xf>
    <xf numFmtId="0" fontId="78" fillId="16" borderId="1" xfId="0" applyFont="1" applyFill="1" applyBorder="1" applyAlignment="1" applyProtection="1">
      <alignment horizontal="center" vertical="center"/>
      <protection hidden="1"/>
    </xf>
    <xf numFmtId="0" fontId="78" fillId="0" borderId="3" xfId="0" applyFont="1" applyBorder="1" applyAlignment="1" applyProtection="1">
      <alignment vertical="center"/>
      <protection hidden="1"/>
    </xf>
    <xf numFmtId="0" fontId="78" fillId="0" borderId="4" xfId="0" applyFont="1" applyBorder="1" applyAlignment="1" applyProtection="1">
      <alignment vertical="center"/>
      <protection hidden="1"/>
    </xf>
    <xf numFmtId="0" fontId="72" fillId="42" borderId="14" xfId="0" applyFont="1" applyFill="1" applyBorder="1" applyAlignment="1" applyProtection="1">
      <alignment horizontal="center" vertical="center"/>
      <protection locked="0"/>
    </xf>
    <xf numFmtId="0" fontId="78" fillId="0" borderId="2" xfId="0" applyFont="1" applyBorder="1" applyAlignment="1">
      <alignment vertical="center"/>
    </xf>
    <xf numFmtId="0" fontId="0" fillId="0" borderId="14" xfId="0" applyBorder="1" applyAlignment="1">
      <alignment vertical="center"/>
    </xf>
    <xf numFmtId="1" fontId="106" fillId="0" borderId="3" xfId="0" applyNumberFormat="1" applyFont="1" applyFill="1" applyBorder="1" applyAlignment="1">
      <alignment horizontal="center" vertical="center"/>
    </xf>
    <xf numFmtId="0" fontId="106" fillId="0" borderId="5" xfId="0" applyFont="1" applyFill="1" applyBorder="1" applyAlignment="1">
      <alignment horizontal="left" vertical="center"/>
    </xf>
    <xf numFmtId="1" fontId="78" fillId="9" borderId="1" xfId="1" applyNumberFormat="1" applyFont="1" applyFill="1" applyBorder="1" applyAlignment="1">
      <alignment horizontal="center" vertical="center"/>
    </xf>
    <xf numFmtId="1" fontId="80" fillId="0" borderId="12" xfId="0" applyNumberFormat="1" applyFont="1" applyBorder="1" applyAlignment="1">
      <alignment vertical="center"/>
    </xf>
    <xf numFmtId="1" fontId="96" fillId="4" borderId="1" xfId="1" applyNumberFormat="1" applyFont="1" applyFill="1" applyBorder="1" applyAlignment="1" applyProtection="1">
      <alignment horizontal="center" vertical="center"/>
      <protection locked="0"/>
    </xf>
    <xf numFmtId="1" fontId="87" fillId="4" borderId="1" xfId="1" applyNumberFormat="1" applyFont="1" applyFill="1" applyBorder="1" applyAlignment="1" applyProtection="1">
      <alignment horizontal="center" vertical="center"/>
      <protection locked="0"/>
    </xf>
    <xf numFmtId="1" fontId="96" fillId="39" borderId="1" xfId="1" applyNumberFormat="1" applyFont="1" applyFill="1" applyBorder="1" applyAlignment="1">
      <alignment horizontal="center" vertical="center"/>
    </xf>
    <xf numFmtId="1" fontId="55" fillId="7" borderId="1" xfId="0" applyNumberFormat="1" applyFont="1" applyFill="1" applyBorder="1" applyAlignment="1">
      <alignment horizontal="center" vertical="center"/>
    </xf>
    <xf numFmtId="1" fontId="96" fillId="4" borderId="1" xfId="1" applyNumberFormat="1" applyFont="1" applyFill="1" applyBorder="1" applyAlignment="1">
      <alignment horizontal="center" vertical="center"/>
    </xf>
    <xf numFmtId="2" fontId="96" fillId="39" borderId="1" xfId="1" applyNumberFormat="1" applyFont="1" applyFill="1" applyBorder="1" applyAlignment="1" applyProtection="1">
      <alignment horizontal="center" vertical="center"/>
      <protection locked="0"/>
    </xf>
    <xf numFmtId="2" fontId="87" fillId="39" borderId="1" xfId="1" applyNumberFormat="1" applyFont="1" applyFill="1" applyBorder="1" applyAlignment="1" applyProtection="1">
      <alignment horizontal="center" vertical="center"/>
      <protection locked="0"/>
    </xf>
    <xf numFmtId="0" fontId="78" fillId="43" borderId="62" xfId="0" applyFont="1" applyFill="1" applyBorder="1" applyAlignment="1">
      <alignment vertical="center"/>
    </xf>
    <xf numFmtId="0" fontId="78" fillId="43" borderId="18" xfId="0" applyFont="1" applyFill="1" applyBorder="1" applyAlignment="1">
      <alignment vertical="center"/>
    </xf>
    <xf numFmtId="0" fontId="78" fillId="43" borderId="56" xfId="0" applyFont="1" applyFill="1" applyBorder="1" applyAlignment="1">
      <alignment vertical="center"/>
    </xf>
    <xf numFmtId="0" fontId="78" fillId="43" borderId="10" xfId="0" applyFont="1" applyFill="1" applyBorder="1" applyAlignment="1">
      <alignment vertical="center"/>
    </xf>
    <xf numFmtId="0" fontId="78" fillId="43" borderId="0" xfId="0" applyFont="1" applyFill="1" applyBorder="1" applyAlignment="1">
      <alignment vertical="center"/>
    </xf>
    <xf numFmtId="0" fontId="78" fillId="43" borderId="11" xfId="0" applyFont="1" applyFill="1" applyBorder="1" applyAlignment="1">
      <alignment vertical="center"/>
    </xf>
    <xf numFmtId="0" fontId="111" fillId="43" borderId="58" xfId="0" applyFont="1" applyFill="1" applyBorder="1" applyAlignment="1">
      <alignment vertical="center"/>
    </xf>
    <xf numFmtId="0" fontId="111" fillId="43" borderId="30" xfId="0" applyFont="1" applyFill="1" applyBorder="1" applyAlignment="1">
      <alignment vertical="center"/>
    </xf>
    <xf numFmtId="0" fontId="111" fillId="43" borderId="150" xfId="0" applyFont="1" applyFill="1" applyBorder="1" applyAlignment="1">
      <alignment vertical="center"/>
    </xf>
    <xf numFmtId="2" fontId="78" fillId="0" borderId="1" xfId="0" applyNumberFormat="1" applyFont="1" applyBorder="1" applyAlignment="1">
      <alignment horizontal="center" vertical="center"/>
    </xf>
    <xf numFmtId="1" fontId="78" fillId="9" borderId="1" xfId="1" applyNumberFormat="1" applyFont="1" applyFill="1" applyBorder="1" applyAlignment="1" applyProtection="1">
      <alignment horizontal="center" vertical="center"/>
      <protection locked="0"/>
    </xf>
    <xf numFmtId="2" fontId="81" fillId="0" borderId="1" xfId="0" applyNumberFormat="1" applyFont="1" applyFill="1" applyBorder="1" applyAlignment="1">
      <alignment horizontal="center" vertical="center"/>
    </xf>
    <xf numFmtId="2" fontId="81" fillId="24" borderId="1" xfId="0" applyNumberFormat="1" applyFont="1" applyFill="1" applyBorder="1" applyAlignment="1">
      <alignment horizontal="center" vertical="center"/>
    </xf>
    <xf numFmtId="1" fontId="78" fillId="24" borderId="1" xfId="1" applyNumberFormat="1" applyFont="1" applyFill="1" applyBorder="1" applyAlignment="1" applyProtection="1">
      <alignment vertical="center"/>
      <protection locked="0"/>
    </xf>
    <xf numFmtId="0" fontId="79" fillId="0" borderId="29" xfId="0" applyFont="1" applyBorder="1" applyAlignment="1">
      <alignment horizontal="center" vertical="center"/>
    </xf>
    <xf numFmtId="0" fontId="78" fillId="7" borderId="56" xfId="0" applyFont="1" applyFill="1" applyBorder="1" applyAlignment="1">
      <alignment vertical="center"/>
    </xf>
    <xf numFmtId="0" fontId="78" fillId="7" borderId="11" xfId="0" applyFont="1" applyFill="1" applyBorder="1" applyAlignment="1">
      <alignment vertical="center"/>
    </xf>
    <xf numFmtId="0" fontId="111" fillId="7" borderId="150" xfId="0" applyFont="1" applyFill="1" applyBorder="1" applyAlignment="1">
      <alignment vertical="center"/>
    </xf>
    <xf numFmtId="0" fontId="78" fillId="44" borderId="18" xfId="0" applyFont="1" applyFill="1" applyBorder="1" applyAlignment="1">
      <alignment vertical="center"/>
    </xf>
    <xf numFmtId="0" fontId="78" fillId="44" borderId="11" xfId="0" applyFont="1" applyFill="1" applyBorder="1" applyAlignment="1">
      <alignment vertical="center"/>
    </xf>
    <xf numFmtId="0" fontId="111" fillId="44" borderId="150" xfId="0" applyFont="1" applyFill="1" applyBorder="1" applyAlignment="1">
      <alignment vertical="center"/>
    </xf>
    <xf numFmtId="1" fontId="78" fillId="11" borderId="15" xfId="0" applyNumberFormat="1" applyFont="1" applyFill="1" applyBorder="1" applyAlignment="1">
      <alignment vertical="center"/>
    </xf>
    <xf numFmtId="174" fontId="78" fillId="11" borderId="11" xfId="0" applyNumberFormat="1" applyFont="1" applyFill="1" applyBorder="1" applyAlignment="1">
      <alignment vertical="center"/>
    </xf>
    <xf numFmtId="0" fontId="78" fillId="11" borderId="1" xfId="0" applyFont="1" applyFill="1" applyBorder="1" applyAlignment="1">
      <alignment vertical="center"/>
    </xf>
    <xf numFmtId="0" fontId="79" fillId="0" borderId="56" xfId="0" applyFont="1" applyFill="1" applyBorder="1" applyAlignment="1">
      <alignment horizontal="centerContinuous" vertical="center"/>
    </xf>
    <xf numFmtId="0" fontId="79" fillId="0" borderId="62" xfId="0" applyFont="1" applyFill="1" applyBorder="1" applyAlignment="1">
      <alignment horizontal="centerContinuous" vertical="center"/>
    </xf>
    <xf numFmtId="170" fontId="113" fillId="7" borderId="46" xfId="0" applyNumberFormat="1" applyFont="1" applyFill="1" applyBorder="1" applyAlignment="1">
      <alignment horizontal="center" vertical="center"/>
    </xf>
    <xf numFmtId="0" fontId="70" fillId="10" borderId="46" xfId="0" applyFont="1" applyFill="1" applyBorder="1" applyAlignment="1" applyProtection="1">
      <alignment horizontal="left" vertical="center"/>
      <protection locked="0"/>
    </xf>
    <xf numFmtId="0" fontId="75" fillId="0" borderId="46" xfId="0" applyFont="1" applyFill="1" applyBorder="1" applyAlignment="1">
      <alignment horizontal="center" vertical="center"/>
    </xf>
    <xf numFmtId="1" fontId="106" fillId="0" borderId="54" xfId="0" applyNumberFormat="1" applyFont="1" applyFill="1" applyBorder="1" applyAlignment="1">
      <alignment horizontal="center" vertical="center"/>
    </xf>
    <xf numFmtId="1" fontId="106" fillId="0" borderId="37" xfId="0" applyNumberFormat="1" applyFont="1" applyFill="1" applyBorder="1" applyAlignment="1">
      <alignment horizontal="center" vertical="center"/>
    </xf>
    <xf numFmtId="1" fontId="106" fillId="0" borderId="55" xfId="0" applyNumberFormat="1" applyFont="1" applyFill="1" applyBorder="1" applyAlignment="1">
      <alignment horizontal="center" vertical="center"/>
    </xf>
    <xf numFmtId="1" fontId="106" fillId="0" borderId="9" xfId="0" applyNumberFormat="1" applyFont="1" applyFill="1" applyBorder="1" applyAlignment="1" applyProtection="1">
      <alignment horizontal="center" vertical="center"/>
      <protection locked="0"/>
    </xf>
    <xf numFmtId="1" fontId="106" fillId="0" borderId="12" xfId="1" applyNumberFormat="1" applyFont="1" applyFill="1" applyBorder="1" applyAlignment="1" applyProtection="1">
      <alignment horizontal="center" vertical="center"/>
      <protection locked="0"/>
    </xf>
    <xf numFmtId="1" fontId="106" fillId="0" borderId="13" xfId="1" applyNumberFormat="1" applyFont="1" applyFill="1" applyBorder="1" applyAlignment="1" applyProtection="1">
      <alignment horizontal="center" vertical="center"/>
      <protection locked="0"/>
    </xf>
    <xf numFmtId="1" fontId="106" fillId="0" borderId="9" xfId="1" applyNumberFormat="1" applyFont="1" applyFill="1" applyBorder="1" applyAlignment="1" applyProtection="1">
      <alignment horizontal="center" vertical="center"/>
      <protection locked="0"/>
    </xf>
    <xf numFmtId="1" fontId="106" fillId="0" borderId="12" xfId="0" applyNumberFormat="1" applyFont="1" applyFill="1" applyBorder="1" applyAlignment="1">
      <alignment vertical="center"/>
    </xf>
    <xf numFmtId="1" fontId="106" fillId="0" borderId="13" xfId="0" applyNumberFormat="1" applyFont="1" applyFill="1" applyBorder="1" applyAlignment="1">
      <alignment vertical="center"/>
    </xf>
    <xf numFmtId="1" fontId="106" fillId="0" borderId="9" xfId="0" applyNumberFormat="1" applyFont="1" applyFill="1" applyBorder="1" applyAlignment="1">
      <alignment vertical="center"/>
    </xf>
    <xf numFmtId="1" fontId="106" fillId="0" borderId="0" xfId="0" applyNumberFormat="1" applyFont="1" applyFill="1" applyBorder="1" applyAlignment="1">
      <alignment vertical="center"/>
    </xf>
    <xf numFmtId="1" fontId="106" fillId="0" borderId="4" xfId="1" applyNumberFormat="1" applyFont="1" applyFill="1" applyBorder="1" applyAlignment="1">
      <alignment horizontal="center" vertical="center"/>
    </xf>
    <xf numFmtId="1" fontId="106" fillId="0" borderId="5" xfId="1" applyNumberFormat="1" applyFont="1" applyFill="1" applyBorder="1" applyAlignment="1">
      <alignment horizontal="center" vertical="center"/>
    </xf>
    <xf numFmtId="1" fontId="106" fillId="0" borderId="6" xfId="0" applyNumberFormat="1" applyFont="1" applyFill="1" applyBorder="1" applyAlignment="1">
      <alignment horizontal="center" vertical="center"/>
    </xf>
    <xf numFmtId="1" fontId="106" fillId="0" borderId="7" xfId="0" applyNumberFormat="1" applyFont="1" applyFill="1" applyBorder="1" applyAlignment="1">
      <alignment horizontal="center" vertical="center"/>
    </xf>
    <xf numFmtId="1" fontId="106" fillId="0" borderId="8" xfId="0" applyNumberFormat="1" applyFont="1" applyFill="1" applyBorder="1" applyAlignment="1">
      <alignment horizontal="center" vertical="center"/>
    </xf>
    <xf numFmtId="1" fontId="106" fillId="0" borderId="152" xfId="0" applyNumberFormat="1" applyFont="1" applyFill="1" applyBorder="1" applyAlignment="1">
      <alignment horizontal="center" vertical="center"/>
    </xf>
    <xf numFmtId="1" fontId="108" fillId="0" borderId="0" xfId="0" applyNumberFormat="1" applyFont="1" applyFill="1" applyBorder="1" applyAlignment="1">
      <alignment vertical="center"/>
    </xf>
    <xf numFmtId="1" fontId="106" fillId="0" borderId="13" xfId="1" applyNumberFormat="1" applyFont="1" applyFill="1" applyBorder="1" applyAlignment="1">
      <alignment horizontal="center" vertical="center"/>
    </xf>
    <xf numFmtId="1" fontId="106" fillId="0" borderId="9" xfId="1" applyNumberFormat="1" applyFont="1" applyFill="1" applyBorder="1" applyAlignment="1">
      <alignment horizontal="center" vertical="center"/>
    </xf>
    <xf numFmtId="1" fontId="106" fillId="0" borderId="12" xfId="1" applyNumberFormat="1" applyFont="1" applyFill="1" applyBorder="1" applyAlignment="1">
      <alignment horizontal="center" vertical="center"/>
    </xf>
    <xf numFmtId="1" fontId="106" fillId="0" borderId="10" xfId="0" applyNumberFormat="1" applyFont="1" applyFill="1" applyBorder="1" applyAlignment="1">
      <alignment vertical="center"/>
    </xf>
    <xf numFmtId="1" fontId="110" fillId="0" borderId="12" xfId="0" applyNumberFormat="1" applyFont="1" applyFill="1" applyBorder="1" applyAlignment="1">
      <alignment horizontal="center" vertical="center"/>
    </xf>
    <xf numFmtId="0" fontId="114" fillId="0" borderId="13" xfId="0" applyFont="1" applyFill="1" applyBorder="1" applyAlignment="1">
      <alignment vertical="center"/>
    </xf>
    <xf numFmtId="0" fontId="115" fillId="0" borderId="0" xfId="0" applyFont="1" applyAlignment="1">
      <alignment vertical="center"/>
    </xf>
    <xf numFmtId="0" fontId="114" fillId="0" borderId="18" xfId="0" applyFont="1" applyFill="1" applyBorder="1" applyAlignment="1">
      <alignment vertical="center"/>
    </xf>
    <xf numFmtId="0" fontId="116" fillId="0" borderId="54" xfId="0" applyFont="1" applyFill="1" applyBorder="1" applyAlignment="1">
      <alignment horizontal="center" vertical="center"/>
    </xf>
    <xf numFmtId="0" fontId="116" fillId="0" borderId="37" xfId="0" applyFont="1" applyFill="1" applyBorder="1" applyAlignment="1">
      <alignment horizontal="center" vertical="center"/>
    </xf>
    <xf numFmtId="0" fontId="116" fillId="0" borderId="55" xfId="0" applyFont="1" applyFill="1" applyBorder="1" applyAlignment="1">
      <alignment horizontal="center" vertical="center"/>
    </xf>
    <xf numFmtId="0" fontId="114" fillId="0" borderId="0" xfId="0" applyFont="1" applyFill="1" applyBorder="1" applyAlignment="1">
      <alignment vertical="center"/>
    </xf>
    <xf numFmtId="0" fontId="116" fillId="0" borderId="12" xfId="0" applyFont="1" applyFill="1" applyBorder="1" applyAlignment="1" applyProtection="1">
      <alignment horizontal="center" vertical="center"/>
      <protection locked="0"/>
    </xf>
    <xf numFmtId="0" fontId="116" fillId="0" borderId="13" xfId="0" applyFont="1" applyFill="1" applyBorder="1" applyAlignment="1" applyProtection="1">
      <alignment horizontal="center" vertical="center"/>
      <protection locked="0"/>
    </xf>
    <xf numFmtId="0" fontId="116" fillId="0" borderId="9" xfId="0" applyFont="1" applyFill="1" applyBorder="1" applyAlignment="1" applyProtection="1">
      <alignment horizontal="center" vertical="center"/>
      <protection locked="0"/>
    </xf>
    <xf numFmtId="0" fontId="116" fillId="0" borderId="0" xfId="0" applyFont="1" applyFill="1" applyBorder="1" applyAlignment="1">
      <alignment vertical="center"/>
    </xf>
    <xf numFmtId="0" fontId="116" fillId="0" borderId="10" xfId="0" applyFont="1" applyFill="1" applyBorder="1" applyAlignment="1">
      <alignment vertical="center"/>
    </xf>
    <xf numFmtId="9" fontId="116" fillId="0" borderId="12" xfId="1" applyFont="1" applyFill="1" applyBorder="1" applyAlignment="1" applyProtection="1">
      <alignment horizontal="center" vertical="center"/>
      <protection locked="0"/>
    </xf>
    <xf numFmtId="9" fontId="116" fillId="0" borderId="13" xfId="1" applyFont="1" applyFill="1" applyBorder="1" applyAlignment="1" applyProtection="1">
      <alignment horizontal="center" vertical="center"/>
      <protection locked="0"/>
    </xf>
    <xf numFmtId="9" fontId="116" fillId="0" borderId="9" xfId="1" applyFont="1" applyFill="1" applyBorder="1" applyAlignment="1" applyProtection="1">
      <alignment horizontal="center" vertical="center"/>
      <protection locked="0"/>
    </xf>
    <xf numFmtId="9" fontId="116" fillId="0" borderId="12" xfId="0" applyNumberFormat="1" applyFont="1" applyFill="1" applyBorder="1" applyAlignment="1">
      <alignment horizontal="center" vertical="center"/>
    </xf>
    <xf numFmtId="0" fontId="116" fillId="0" borderId="12" xfId="0" applyFont="1" applyFill="1" applyBorder="1" applyAlignment="1">
      <alignment vertical="center"/>
    </xf>
    <xf numFmtId="0" fontId="116" fillId="0" borderId="13" xfId="0" applyFont="1" applyFill="1" applyBorder="1" applyAlignment="1">
      <alignment vertical="center"/>
    </xf>
    <xf numFmtId="0" fontId="116" fillId="0" borderId="9" xfId="0" applyFont="1" applyFill="1" applyBorder="1" applyAlignment="1">
      <alignment vertical="center"/>
    </xf>
    <xf numFmtId="0" fontId="116" fillId="0" borderId="12" xfId="0" applyFont="1" applyFill="1" applyBorder="1" applyAlignment="1">
      <alignment horizontal="center" vertical="center"/>
    </xf>
    <xf numFmtId="0" fontId="116" fillId="0" borderId="0" xfId="0" applyFont="1" applyFill="1" applyBorder="1" applyAlignment="1">
      <alignment horizontal="left" vertical="center"/>
    </xf>
    <xf numFmtId="0" fontId="116" fillId="0" borderId="13" xfId="0" applyFont="1" applyFill="1" applyBorder="1" applyAlignment="1">
      <alignment horizontal="center" vertical="center"/>
    </xf>
    <xf numFmtId="0" fontId="116" fillId="0" borderId="9" xfId="0" applyFont="1" applyFill="1" applyBorder="1" applyAlignment="1">
      <alignment horizontal="center" vertical="center"/>
    </xf>
    <xf numFmtId="0" fontId="116" fillId="0" borderId="7" xfId="0" applyFont="1" applyFill="1" applyBorder="1" applyAlignment="1">
      <alignment horizontal="left" vertical="center"/>
    </xf>
    <xf numFmtId="1" fontId="116" fillId="0" borderId="12" xfId="0" applyNumberFormat="1" applyFont="1" applyFill="1" applyBorder="1" applyAlignment="1" applyProtection="1">
      <alignment horizontal="center" vertical="center"/>
      <protection locked="0"/>
    </xf>
    <xf numFmtId="1" fontId="116" fillId="0" borderId="13" xfId="0" applyNumberFormat="1" applyFont="1" applyFill="1" applyBorder="1" applyAlignment="1" applyProtection="1">
      <alignment horizontal="center" vertical="center"/>
      <protection locked="0"/>
    </xf>
    <xf numFmtId="170" fontId="116" fillId="0" borderId="13" xfId="0" applyNumberFormat="1" applyFont="1" applyFill="1" applyBorder="1" applyAlignment="1" applyProtection="1">
      <alignment horizontal="center" vertical="center"/>
      <protection locked="0"/>
    </xf>
    <xf numFmtId="170" fontId="116" fillId="0" borderId="9" xfId="0" applyNumberFormat="1" applyFont="1" applyFill="1" applyBorder="1" applyAlignment="1" applyProtection="1">
      <alignment horizontal="center" vertical="center"/>
      <protection locked="0"/>
    </xf>
    <xf numFmtId="0" fontId="116" fillId="0" borderId="4" xfId="0" applyFont="1" applyFill="1" applyBorder="1" applyAlignment="1">
      <alignment horizontal="left" vertical="center"/>
    </xf>
    <xf numFmtId="1" fontId="116" fillId="0" borderId="12" xfId="0" applyNumberFormat="1" applyFont="1" applyFill="1" applyBorder="1" applyAlignment="1">
      <alignment horizontal="center" vertical="center"/>
    </xf>
    <xf numFmtId="1" fontId="116" fillId="0" borderId="13" xfId="0" applyNumberFormat="1" applyFont="1" applyFill="1" applyBorder="1" applyAlignment="1">
      <alignment horizontal="center" vertical="center"/>
    </xf>
    <xf numFmtId="1" fontId="116" fillId="0" borderId="9" xfId="0" applyNumberFormat="1" applyFont="1" applyFill="1" applyBorder="1" applyAlignment="1">
      <alignment horizontal="center" vertical="center"/>
    </xf>
    <xf numFmtId="9" fontId="116" fillId="0" borderId="4" xfId="1" applyFont="1" applyFill="1" applyBorder="1" applyAlignment="1">
      <alignment horizontal="center" vertical="center"/>
    </xf>
    <xf numFmtId="9" fontId="116" fillId="0" borderId="5" xfId="1" applyFont="1" applyFill="1" applyBorder="1" applyAlignment="1">
      <alignment horizontal="center" vertical="center"/>
    </xf>
    <xf numFmtId="0" fontId="116" fillId="0" borderId="6" xfId="0" applyFont="1" applyFill="1" applyBorder="1" applyAlignment="1">
      <alignment horizontal="center" vertical="center"/>
    </xf>
    <xf numFmtId="0" fontId="116" fillId="0" borderId="7" xfId="0" applyFont="1" applyFill="1" applyBorder="1" applyAlignment="1">
      <alignment horizontal="center" vertical="center"/>
    </xf>
    <xf numFmtId="0" fontId="116" fillId="0" borderId="8" xfId="0" applyFont="1" applyFill="1" applyBorder="1" applyAlignment="1">
      <alignment horizontal="center" vertical="center"/>
    </xf>
    <xf numFmtId="0" fontId="116" fillId="0" borderId="30" xfId="0" applyFont="1" applyFill="1" applyBorder="1" applyAlignment="1">
      <alignment horizontal="left" vertical="center"/>
    </xf>
    <xf numFmtId="1" fontId="116" fillId="0" borderId="68" xfId="0" applyNumberFormat="1" applyFont="1" applyFill="1" applyBorder="1" applyAlignment="1">
      <alignment horizontal="center" vertical="center"/>
    </xf>
    <xf numFmtId="1" fontId="116" fillId="0" borderId="151" xfId="0" applyNumberFormat="1" applyFont="1" applyFill="1" applyBorder="1" applyAlignment="1">
      <alignment horizontal="center" vertical="center"/>
    </xf>
    <xf numFmtId="170" fontId="116" fillId="0" borderId="151" xfId="0" applyNumberFormat="1" applyFont="1" applyFill="1" applyBorder="1" applyAlignment="1">
      <alignment horizontal="center" vertical="center"/>
    </xf>
    <xf numFmtId="170" fontId="116" fillId="0" borderId="152" xfId="0" applyNumberFormat="1" applyFont="1" applyFill="1" applyBorder="1" applyAlignment="1">
      <alignment horizontal="center" vertical="center"/>
    </xf>
    <xf numFmtId="0" fontId="116" fillId="0" borderId="56" xfId="0" applyFont="1" applyFill="1" applyBorder="1" applyAlignment="1">
      <alignment horizontal="left" vertical="center"/>
    </xf>
    <xf numFmtId="0" fontId="116" fillId="0" borderId="11" xfId="0" applyFont="1" applyFill="1" applyBorder="1" applyAlignment="1">
      <alignment horizontal="left" vertical="center"/>
    </xf>
    <xf numFmtId="1" fontId="116" fillId="0" borderId="3" xfId="0" applyNumberFormat="1" applyFont="1" applyFill="1" applyBorder="1" applyAlignment="1">
      <alignment horizontal="center" vertical="center"/>
    </xf>
    <xf numFmtId="0" fontId="116" fillId="0" borderId="8" xfId="0" applyFont="1" applyFill="1" applyBorder="1" applyAlignment="1">
      <alignment horizontal="left" vertical="center"/>
    </xf>
    <xf numFmtId="1" fontId="116" fillId="0" borderId="6" xfId="0" applyNumberFormat="1" applyFont="1" applyFill="1" applyBorder="1" applyAlignment="1">
      <alignment horizontal="center" vertical="center"/>
    </xf>
    <xf numFmtId="0" fontId="116" fillId="0" borderId="5" xfId="0" applyFont="1" applyFill="1" applyBorder="1" applyAlignment="1">
      <alignment horizontal="left" vertical="center"/>
    </xf>
    <xf numFmtId="9" fontId="116" fillId="0" borderId="13" xfId="1" applyFont="1" applyFill="1" applyBorder="1" applyAlignment="1">
      <alignment horizontal="center" vertical="center"/>
    </xf>
    <xf numFmtId="9" fontId="116" fillId="0" borderId="9" xfId="1" applyFont="1" applyFill="1" applyBorder="1" applyAlignment="1">
      <alignment horizontal="center" vertical="center"/>
    </xf>
    <xf numFmtId="0" fontId="116" fillId="0" borderId="150" xfId="0" applyFont="1" applyFill="1" applyBorder="1" applyAlignment="1">
      <alignment horizontal="left" vertical="center"/>
    </xf>
    <xf numFmtId="9" fontId="116" fillId="0" borderId="12" xfId="1" applyFont="1" applyFill="1" applyBorder="1" applyAlignment="1">
      <alignment horizontal="center" vertical="center"/>
    </xf>
    <xf numFmtId="170" fontId="116" fillId="0" borderId="13" xfId="0" applyNumberFormat="1" applyFont="1" applyFill="1" applyBorder="1" applyAlignment="1">
      <alignment horizontal="center" vertical="center"/>
    </xf>
    <xf numFmtId="170" fontId="116" fillId="0" borderId="9" xfId="0" applyNumberFormat="1" applyFont="1" applyFill="1" applyBorder="1" applyAlignment="1">
      <alignment horizontal="center" vertical="center"/>
    </xf>
    <xf numFmtId="0" fontId="114" fillId="0" borderId="11" xfId="0" applyFont="1" applyFill="1" applyBorder="1" applyAlignment="1">
      <alignment horizontal="left" vertical="center"/>
    </xf>
    <xf numFmtId="0" fontId="114" fillId="0" borderId="150" xfId="0" applyFont="1" applyFill="1" applyBorder="1" applyAlignment="1">
      <alignment vertical="center"/>
    </xf>
    <xf numFmtId="171" fontId="51" fillId="20" borderId="41" xfId="2" applyFont="1" applyBorder="1" applyAlignment="1" applyProtection="1">
      <alignment vertical="center"/>
      <protection hidden="1"/>
    </xf>
    <xf numFmtId="0" fontId="50" fillId="0" borderId="1" xfId="0" applyFont="1" applyBorder="1" applyAlignment="1" applyProtection="1">
      <alignment vertical="center"/>
      <protection hidden="1"/>
    </xf>
    <xf numFmtId="0" fontId="49" fillId="0" borderId="1" xfId="0" applyFont="1" applyBorder="1" applyAlignment="1" applyProtection="1">
      <alignment vertical="center"/>
      <protection hidden="1"/>
    </xf>
    <xf numFmtId="0" fontId="55" fillId="0" borderId="1" xfId="0" applyFont="1" applyBorder="1" applyAlignment="1" applyProtection="1">
      <alignment horizontal="center" vertical="center"/>
      <protection hidden="1"/>
    </xf>
    <xf numFmtId="0" fontId="57" fillId="2" borderId="1" xfId="0" applyFont="1" applyFill="1" applyBorder="1" applyAlignment="1" applyProtection="1">
      <alignment horizontal="center" vertical="center"/>
      <protection hidden="1"/>
    </xf>
    <xf numFmtId="0" fontId="49" fillId="27" borderId="1" xfId="0" applyFont="1" applyFill="1" applyBorder="1" applyAlignment="1" applyProtection="1">
      <alignment vertical="center"/>
      <protection hidden="1"/>
    </xf>
    <xf numFmtId="0" fontId="70" fillId="11" borderId="1" xfId="0" applyFont="1" applyFill="1" applyBorder="1" applyAlignment="1" applyProtection="1">
      <alignment horizontal="center" vertical="center"/>
      <protection locked="0"/>
    </xf>
    <xf numFmtId="0" fontId="49" fillId="22" borderId="1" xfId="0" applyFont="1" applyFill="1" applyBorder="1" applyAlignment="1" applyProtection="1">
      <alignment vertical="center"/>
      <protection hidden="1"/>
    </xf>
    <xf numFmtId="0" fontId="74" fillId="7" borderId="1" xfId="0" applyFont="1" applyFill="1" applyBorder="1" applyAlignment="1" applyProtection="1">
      <alignment horizontal="centerContinuous" vertical="center"/>
      <protection hidden="1"/>
    </xf>
    <xf numFmtId="0" fontId="63" fillId="26" borderId="1" xfId="0" applyFont="1" applyFill="1" applyBorder="1" applyAlignment="1" applyProtection="1">
      <alignment horizontal="center" vertical="center"/>
      <protection locked="0"/>
    </xf>
    <xf numFmtId="9" fontId="53" fillId="44" borderId="1" xfId="0" applyNumberFormat="1" applyFont="1" applyFill="1" applyBorder="1" applyAlignment="1" applyProtection="1">
      <alignment horizontal="center" vertical="center"/>
      <protection hidden="1"/>
    </xf>
    <xf numFmtId="0" fontId="59" fillId="22" borderId="1" xfId="0" applyFont="1" applyFill="1" applyBorder="1" applyAlignment="1" applyProtection="1">
      <alignment horizontal="center" vertical="center"/>
      <protection hidden="1"/>
    </xf>
    <xf numFmtId="0" fontId="49" fillId="0" borderId="13" xfId="0" applyFont="1" applyBorder="1" applyAlignment="1" applyProtection="1">
      <alignment vertical="center"/>
      <protection hidden="1"/>
    </xf>
    <xf numFmtId="0" fontId="59" fillId="0" borderId="13" xfId="0" applyFont="1" applyFill="1" applyBorder="1" applyAlignment="1" applyProtection="1">
      <alignment horizontal="center" vertical="center"/>
      <protection hidden="1"/>
    </xf>
    <xf numFmtId="0" fontId="49" fillId="0" borderId="13" xfId="0" applyFont="1" applyFill="1" applyBorder="1" applyAlignment="1" applyProtection="1">
      <alignment vertical="center"/>
      <protection hidden="1"/>
    </xf>
    <xf numFmtId="171" fontId="52" fillId="15" borderId="13" xfId="2" applyFont="1" applyFill="1" applyBorder="1" applyAlignment="1" applyProtection="1">
      <alignment vertical="center"/>
      <protection hidden="1"/>
    </xf>
    <xf numFmtId="49" fontId="51" fillId="15" borderId="13" xfId="2" applyNumberFormat="1" applyFont="1" applyFill="1" applyBorder="1" applyAlignment="1" applyProtection="1">
      <alignment horizontal="left" vertical="center"/>
      <protection hidden="1"/>
    </xf>
    <xf numFmtId="49" fontId="52" fillId="15" borderId="13" xfId="2" applyNumberFormat="1" applyFont="1" applyFill="1" applyBorder="1" applyAlignment="1" applyProtection="1">
      <alignment vertical="center"/>
      <protection hidden="1"/>
    </xf>
    <xf numFmtId="171" fontId="52" fillId="24" borderId="13" xfId="2" applyFont="1" applyFill="1" applyBorder="1" applyAlignment="1" applyProtection="1">
      <alignment vertical="center"/>
      <protection hidden="1"/>
    </xf>
    <xf numFmtId="49" fontId="51" fillId="24" borderId="13" xfId="2" applyNumberFormat="1" applyFont="1" applyFill="1" applyBorder="1" applyAlignment="1" applyProtection="1">
      <alignment horizontal="left" vertical="center"/>
      <protection hidden="1"/>
    </xf>
    <xf numFmtId="49" fontId="52" fillId="24" borderId="13" xfId="2" applyNumberFormat="1" applyFont="1" applyFill="1" applyBorder="1" applyAlignment="1" applyProtection="1">
      <alignment vertical="center"/>
      <protection hidden="1"/>
    </xf>
    <xf numFmtId="0" fontId="49" fillId="40" borderId="13" xfId="0" applyFont="1" applyFill="1" applyBorder="1" applyAlignment="1" applyProtection="1">
      <alignment vertical="center"/>
      <protection hidden="1"/>
    </xf>
    <xf numFmtId="0" fontId="56" fillId="0" borderId="12" xfId="0" applyFont="1" applyBorder="1" applyAlignment="1" applyProtection="1">
      <alignment horizontal="center" vertical="center"/>
      <protection hidden="1"/>
    </xf>
    <xf numFmtId="1" fontId="120" fillId="3" borderId="1" xfId="0" applyNumberFormat="1" applyFont="1" applyFill="1" applyBorder="1" applyAlignment="1" applyProtection="1">
      <alignment horizontal="center" vertical="center"/>
      <protection hidden="1"/>
    </xf>
    <xf numFmtId="0" fontId="49" fillId="22" borderId="12" xfId="0" applyFont="1" applyFill="1" applyBorder="1" applyAlignment="1" applyProtection="1">
      <alignment vertical="center"/>
      <protection hidden="1"/>
    </xf>
    <xf numFmtId="0" fontId="49" fillId="22" borderId="9" xfId="0" applyFont="1" applyFill="1" applyBorder="1" applyAlignment="1" applyProtection="1">
      <alignment vertical="center"/>
      <protection hidden="1"/>
    </xf>
    <xf numFmtId="0" fontId="49" fillId="11" borderId="13" xfId="0" applyFont="1" applyFill="1" applyBorder="1" applyAlignment="1" applyProtection="1">
      <alignment vertical="center"/>
      <protection hidden="1"/>
    </xf>
    <xf numFmtId="171" fontId="119" fillId="9" borderId="13" xfId="2" applyFont="1" applyFill="1" applyBorder="1" applyAlignment="1" applyProtection="1">
      <alignment vertical="center"/>
      <protection hidden="1"/>
    </xf>
    <xf numFmtId="49" fontId="52" fillId="15" borderId="22" xfId="2" applyNumberFormat="1" applyFont="1" applyFill="1" applyBorder="1" applyAlignment="1" applyProtection="1">
      <alignment vertical="center"/>
      <protection hidden="1"/>
    </xf>
    <xf numFmtId="0" fontId="58" fillId="7" borderId="24" xfId="0" applyFont="1" applyFill="1" applyBorder="1" applyAlignment="1" applyProtection="1">
      <alignment horizontal="center" vertical="center"/>
      <protection hidden="1"/>
    </xf>
    <xf numFmtId="0" fontId="49" fillId="0" borderId="22" xfId="0" applyFont="1" applyBorder="1" applyAlignment="1" applyProtection="1">
      <alignment vertical="center"/>
      <protection hidden="1"/>
    </xf>
    <xf numFmtId="0" fontId="49" fillId="27" borderId="24" xfId="0" applyFont="1" applyFill="1" applyBorder="1" applyAlignment="1" applyProtection="1">
      <alignment vertical="center"/>
      <protection hidden="1"/>
    </xf>
    <xf numFmtId="0" fontId="49" fillId="0" borderId="24" xfId="0" applyFont="1" applyBorder="1" applyAlignment="1" applyProtection="1">
      <alignment vertical="center"/>
      <protection hidden="1"/>
    </xf>
    <xf numFmtId="0" fontId="49" fillId="0" borderId="146" xfId="0" applyFont="1" applyBorder="1" applyAlignment="1" applyProtection="1">
      <alignment vertical="center"/>
      <protection hidden="1"/>
    </xf>
    <xf numFmtId="0" fontId="49" fillId="0" borderId="22" xfId="0" applyFont="1" applyFill="1" applyBorder="1" applyAlignment="1" applyProtection="1">
      <alignment vertical="center"/>
      <protection hidden="1"/>
    </xf>
    <xf numFmtId="49" fontId="52" fillId="24" borderId="22" xfId="2" applyNumberFormat="1" applyFont="1" applyFill="1" applyBorder="1" applyAlignment="1" applyProtection="1">
      <alignment vertical="center"/>
      <protection hidden="1"/>
    </xf>
    <xf numFmtId="0" fontId="49" fillId="40" borderId="22" xfId="0" applyFont="1" applyFill="1" applyBorder="1" applyAlignment="1" applyProtection="1">
      <alignment vertical="center"/>
      <protection hidden="1"/>
    </xf>
    <xf numFmtId="0" fontId="58" fillId="8" borderId="24" xfId="0" applyFont="1" applyFill="1" applyBorder="1" applyAlignment="1" applyProtection="1">
      <alignment horizontal="center" vertical="center"/>
      <protection hidden="1"/>
    </xf>
    <xf numFmtId="171" fontId="119" fillId="9" borderId="22" xfId="2" applyFont="1" applyFill="1" applyBorder="1" applyAlignment="1" applyProtection="1">
      <alignment vertical="center"/>
      <protection hidden="1"/>
    </xf>
    <xf numFmtId="0" fontId="49" fillId="11" borderId="22" xfId="0" applyFont="1" applyFill="1" applyBorder="1" applyAlignment="1" applyProtection="1">
      <alignment vertical="center"/>
      <protection hidden="1"/>
    </xf>
    <xf numFmtId="1" fontId="53" fillId="22" borderId="28" xfId="0" applyNumberFormat="1" applyFont="1" applyFill="1" applyBorder="1" applyAlignment="1" applyProtection="1">
      <alignment horizontal="center" vertical="center"/>
      <protection hidden="1"/>
    </xf>
    <xf numFmtId="170" fontId="53" fillId="22" borderId="28" xfId="0" applyNumberFormat="1" applyFont="1" applyFill="1" applyBorder="1" applyAlignment="1" applyProtection="1">
      <alignment horizontal="center" vertical="center"/>
      <protection hidden="1"/>
    </xf>
    <xf numFmtId="0" fontId="65" fillId="27" borderId="28" xfId="0" applyFont="1" applyFill="1" applyBorder="1" applyAlignment="1" applyProtection="1">
      <alignment vertical="center"/>
      <protection hidden="1"/>
    </xf>
    <xf numFmtId="49" fontId="51" fillId="15" borderId="37" xfId="2" applyNumberFormat="1" applyFont="1" applyFill="1" applyBorder="1" applyAlignment="1" applyProtection="1">
      <alignment horizontal="left" vertical="center"/>
      <protection hidden="1"/>
    </xf>
    <xf numFmtId="49" fontId="52" fillId="15" borderId="37" xfId="2" applyNumberFormat="1" applyFont="1" applyFill="1" applyBorder="1" applyAlignment="1" applyProtection="1">
      <alignment vertical="center"/>
      <protection hidden="1"/>
    </xf>
    <xf numFmtId="49" fontId="52" fillId="15" borderId="38" xfId="2" applyNumberFormat="1" applyFont="1" applyFill="1" applyBorder="1" applyAlignment="1" applyProtection="1">
      <alignment vertical="center"/>
      <protection hidden="1"/>
    </xf>
    <xf numFmtId="0" fontId="55" fillId="0" borderId="23" xfId="0" applyFont="1" applyBorder="1" applyAlignment="1" applyProtection="1">
      <alignment horizontal="center" vertical="center"/>
      <protection hidden="1"/>
    </xf>
    <xf numFmtId="0" fontId="49" fillId="0" borderId="25" xfId="0" applyFont="1" applyBorder="1" applyAlignment="1" applyProtection="1">
      <alignment vertical="center"/>
      <protection hidden="1"/>
    </xf>
    <xf numFmtId="0" fontId="57" fillId="2" borderId="23" xfId="0" applyFont="1" applyFill="1" applyBorder="1" applyAlignment="1" applyProtection="1">
      <alignment horizontal="center" vertical="center"/>
      <protection hidden="1"/>
    </xf>
    <xf numFmtId="0" fontId="118" fillId="22" borderId="23" xfId="0" applyFont="1" applyFill="1" applyBorder="1" applyAlignment="1" applyProtection="1">
      <alignment vertical="center"/>
      <protection hidden="1"/>
    </xf>
    <xf numFmtId="0" fontId="49" fillId="0" borderId="25" xfId="0" applyFont="1" applyFill="1" applyBorder="1" applyAlignment="1" applyProtection="1">
      <alignment vertical="center"/>
      <protection hidden="1"/>
    </xf>
    <xf numFmtId="0" fontId="56" fillId="40" borderId="25" xfId="0" applyFont="1" applyFill="1" applyBorder="1" applyAlignment="1" applyProtection="1">
      <alignment vertical="center"/>
      <protection hidden="1"/>
    </xf>
    <xf numFmtId="0" fontId="56" fillId="0" borderId="25" xfId="0" applyFont="1" applyBorder="1" applyAlignment="1" applyProtection="1">
      <alignment horizontal="center" vertical="center"/>
      <protection hidden="1"/>
    </xf>
    <xf numFmtId="9" fontId="53" fillId="44" borderId="23" xfId="0" applyNumberFormat="1" applyFont="1" applyFill="1" applyBorder="1" applyAlignment="1" applyProtection="1">
      <alignment horizontal="center" vertical="center"/>
      <protection hidden="1"/>
    </xf>
    <xf numFmtId="0" fontId="49" fillId="0" borderId="23" xfId="0" applyFont="1" applyBorder="1" applyAlignment="1" applyProtection="1">
      <alignment vertical="center"/>
      <protection hidden="1"/>
    </xf>
    <xf numFmtId="0" fontId="59" fillId="22" borderId="23" xfId="0" applyFont="1" applyFill="1" applyBorder="1" applyAlignment="1" applyProtection="1">
      <alignment horizontal="center" vertical="center"/>
      <protection hidden="1"/>
    </xf>
    <xf numFmtId="1" fontId="53" fillId="22" borderId="27" xfId="0" applyNumberFormat="1" applyFont="1" applyFill="1" applyBorder="1" applyAlignment="1" applyProtection="1">
      <alignment horizontal="center" vertical="center"/>
      <protection hidden="1"/>
    </xf>
    <xf numFmtId="0" fontId="55" fillId="11" borderId="25" xfId="0" applyFont="1" applyFill="1" applyBorder="1" applyAlignment="1" applyProtection="1">
      <alignment vertical="center"/>
      <protection hidden="1"/>
    </xf>
    <xf numFmtId="0" fontId="73" fillId="23" borderId="23" xfId="0" applyFont="1" applyFill="1" applyBorder="1" applyAlignment="1" applyProtection="1">
      <alignment horizontal="center" vertical="center"/>
      <protection locked="0"/>
    </xf>
    <xf numFmtId="0" fontId="73" fillId="23" borderId="1" xfId="0" applyFont="1" applyFill="1" applyBorder="1" applyAlignment="1" applyProtection="1">
      <alignment horizontal="center" vertical="center"/>
      <protection locked="0"/>
    </xf>
    <xf numFmtId="0" fontId="63" fillId="23" borderId="23" xfId="0" applyFont="1" applyFill="1" applyBorder="1" applyAlignment="1" applyProtection="1">
      <alignment horizontal="center" vertical="center"/>
      <protection locked="0"/>
    </xf>
    <xf numFmtId="0" fontId="63" fillId="23" borderId="1" xfId="0" applyFont="1" applyFill="1" applyBorder="1" applyAlignment="1" applyProtection="1">
      <alignment horizontal="center" vertical="center"/>
      <protection locked="0"/>
    </xf>
    <xf numFmtId="0" fontId="49" fillId="22" borderId="63" xfId="0" applyFont="1" applyFill="1" applyBorder="1" applyAlignment="1" applyProtection="1">
      <alignment vertical="center"/>
      <protection hidden="1"/>
    </xf>
    <xf numFmtId="0" fontId="49" fillId="22" borderId="3" xfId="0" applyFont="1" applyFill="1" applyBorder="1" applyAlignment="1" applyProtection="1">
      <alignment vertical="center"/>
      <protection hidden="1"/>
    </xf>
    <xf numFmtId="0" fontId="49" fillId="22" borderId="5" xfId="0" applyFont="1" applyFill="1" applyBorder="1" applyAlignment="1" applyProtection="1">
      <alignment vertical="center"/>
      <protection hidden="1"/>
    </xf>
    <xf numFmtId="0" fontId="49" fillId="22" borderId="4" xfId="0" applyFont="1" applyFill="1" applyBorder="1" applyAlignment="1" applyProtection="1">
      <alignment vertical="center"/>
      <protection hidden="1"/>
    </xf>
    <xf numFmtId="0" fontId="49" fillId="22" borderId="146" xfId="0" applyFont="1" applyFill="1" applyBorder="1" applyAlignment="1" applyProtection="1">
      <alignment vertical="center"/>
      <protection hidden="1"/>
    </xf>
    <xf numFmtId="0" fontId="49" fillId="22" borderId="155" xfId="0" applyFont="1" applyFill="1" applyBorder="1" applyAlignment="1" applyProtection="1">
      <alignment vertical="center"/>
      <protection hidden="1"/>
    </xf>
    <xf numFmtId="0" fontId="49" fillId="22" borderId="6" xfId="0" applyFont="1" applyFill="1" applyBorder="1" applyAlignment="1" applyProtection="1">
      <alignment vertical="center"/>
      <protection hidden="1"/>
    </xf>
    <xf numFmtId="0" fontId="49" fillId="22" borderId="8" xfId="0" applyFont="1" applyFill="1" applyBorder="1" applyAlignment="1" applyProtection="1">
      <alignment vertical="center"/>
      <protection hidden="1"/>
    </xf>
    <xf numFmtId="0" fontId="49" fillId="22" borderId="7" xfId="0" applyFont="1" applyFill="1" applyBorder="1" applyAlignment="1" applyProtection="1">
      <alignment vertical="center"/>
      <protection hidden="1"/>
    </xf>
    <xf numFmtId="0" fontId="49" fillId="22" borderId="59" xfId="0" applyFont="1" applyFill="1" applyBorder="1" applyAlignment="1" applyProtection="1">
      <alignment vertical="center"/>
      <protection hidden="1"/>
    </xf>
    <xf numFmtId="0" fontId="65" fillId="27" borderId="69" xfId="0" applyFont="1" applyFill="1" applyBorder="1" applyAlignment="1" applyProtection="1">
      <alignment vertical="center"/>
      <protection hidden="1"/>
    </xf>
    <xf numFmtId="0" fontId="49" fillId="22" borderId="1" xfId="0" applyFont="1" applyFill="1" applyBorder="1" applyAlignment="1" applyProtection="1">
      <alignment horizontal="center" vertical="center"/>
      <protection hidden="1"/>
    </xf>
    <xf numFmtId="0" fontId="61" fillId="22" borderId="1" xfId="0" applyFont="1" applyFill="1" applyBorder="1" applyAlignment="1" applyProtection="1">
      <alignment horizontal="center" vertical="center"/>
      <protection hidden="1"/>
    </xf>
    <xf numFmtId="0" fontId="49" fillId="22" borderId="24" xfId="0" applyFont="1" applyFill="1" applyBorder="1" applyAlignment="1" applyProtection="1">
      <alignment vertical="center"/>
      <protection hidden="1"/>
    </xf>
    <xf numFmtId="0" fontId="65" fillId="22" borderId="1" xfId="0" applyFont="1" applyFill="1" applyBorder="1" applyAlignment="1" applyProtection="1">
      <alignment horizontal="center" vertical="center"/>
      <protection hidden="1"/>
    </xf>
    <xf numFmtId="0" fontId="65" fillId="22" borderId="1" xfId="0" applyFont="1" applyFill="1" applyBorder="1" applyAlignment="1" applyProtection="1">
      <alignment vertical="center"/>
      <protection hidden="1"/>
    </xf>
    <xf numFmtId="0" fontId="54" fillId="22" borderId="1" xfId="0" applyFont="1" applyFill="1" applyBorder="1" applyAlignment="1" applyProtection="1">
      <alignment vertical="center"/>
      <protection hidden="1"/>
    </xf>
    <xf numFmtId="0" fontId="65" fillId="22" borderId="24" xfId="0" applyFont="1" applyFill="1" applyBorder="1" applyAlignment="1" applyProtection="1">
      <alignment vertical="center"/>
      <protection hidden="1"/>
    </xf>
    <xf numFmtId="0" fontId="56" fillId="22" borderId="24" xfId="0" applyFont="1" applyFill="1" applyBorder="1" applyAlignment="1" applyProtection="1">
      <alignment horizontal="center" vertical="center"/>
      <protection hidden="1"/>
    </xf>
    <xf numFmtId="0" fontId="121" fillId="0" borderId="13" xfId="0" applyFont="1" applyBorder="1" applyAlignment="1">
      <alignment vertical="center"/>
    </xf>
    <xf numFmtId="0" fontId="122" fillId="0" borderId="13" xfId="0" applyFont="1" applyBorder="1" applyAlignment="1">
      <alignment vertical="center"/>
    </xf>
    <xf numFmtId="0" fontId="122" fillId="0" borderId="0" xfId="0" applyFont="1" applyAlignment="1">
      <alignment vertical="center"/>
    </xf>
    <xf numFmtId="171" fontId="123" fillId="0" borderId="13" xfId="2" applyFont="1" applyFill="1" applyBorder="1" applyAlignment="1" applyProtection="1">
      <alignment vertical="center"/>
      <protection hidden="1"/>
    </xf>
    <xf numFmtId="171" fontId="124" fillId="0" borderId="13" xfId="2" applyFont="1" applyFill="1" applyBorder="1" applyAlignment="1" applyProtection="1">
      <alignment vertical="center"/>
      <protection hidden="1"/>
    </xf>
    <xf numFmtId="49" fontId="123" fillId="0" borderId="13" xfId="2" applyNumberFormat="1" applyFont="1" applyFill="1" applyBorder="1" applyAlignment="1" applyProtection="1">
      <alignment horizontal="left" vertical="center"/>
      <protection hidden="1"/>
    </xf>
    <xf numFmtId="49" fontId="124" fillId="0" borderId="13" xfId="2" applyNumberFormat="1" applyFont="1" applyFill="1" applyBorder="1" applyAlignment="1" applyProtection="1">
      <alignment vertical="center"/>
      <protection hidden="1"/>
    </xf>
    <xf numFmtId="0" fontId="126" fillId="0" borderId="13" xfId="0" applyFont="1" applyFill="1" applyBorder="1" applyAlignment="1" applyProtection="1">
      <alignment vertical="center"/>
      <protection hidden="1"/>
    </xf>
    <xf numFmtId="0" fontId="125" fillId="0" borderId="13" xfId="0" applyFont="1" applyFill="1" applyBorder="1" applyAlignment="1" applyProtection="1">
      <alignment horizontal="center" vertical="center"/>
      <protection hidden="1"/>
    </xf>
    <xf numFmtId="0" fontId="127" fillId="0" borderId="13" xfId="0" applyFont="1" applyFill="1" applyBorder="1" applyAlignment="1" applyProtection="1">
      <alignment horizontal="center" vertical="center"/>
      <protection hidden="1"/>
    </xf>
    <xf numFmtId="9" fontId="125" fillId="0" borderId="13" xfId="1" applyFont="1" applyFill="1" applyBorder="1" applyAlignment="1" applyProtection="1">
      <alignment horizontal="center" vertical="center"/>
      <protection hidden="1"/>
    </xf>
    <xf numFmtId="171" fontId="128" fillId="0" borderId="13" xfId="2" applyFont="1" applyFill="1" applyBorder="1" applyAlignment="1" applyProtection="1">
      <alignment vertical="center"/>
      <protection hidden="1"/>
    </xf>
    <xf numFmtId="171" fontId="129" fillId="0" borderId="13" xfId="2" applyFont="1" applyFill="1" applyBorder="1" applyAlignment="1" applyProtection="1">
      <alignment vertical="center"/>
      <protection hidden="1"/>
    </xf>
    <xf numFmtId="0" fontId="122" fillId="0" borderId="0" xfId="0" applyFont="1" applyFill="1" applyAlignment="1">
      <alignment vertical="center"/>
    </xf>
    <xf numFmtId="0" fontId="128" fillId="0" borderId="13" xfId="0" applyFont="1" applyFill="1" applyBorder="1" applyAlignment="1" applyProtection="1">
      <alignment horizontal="center" vertical="center"/>
      <protection hidden="1"/>
    </xf>
    <xf numFmtId="0" fontId="131" fillId="0" borderId="13" xfId="0" applyFont="1" applyFill="1" applyBorder="1" applyAlignment="1" applyProtection="1">
      <alignment vertical="center"/>
      <protection hidden="1"/>
    </xf>
    <xf numFmtId="0" fontId="127" fillId="0" borderId="13" xfId="0" applyFont="1" applyFill="1" applyBorder="1" applyAlignment="1" applyProtection="1">
      <alignment vertical="center"/>
      <protection hidden="1"/>
    </xf>
    <xf numFmtId="0" fontId="132" fillId="0" borderId="13" xfId="0" applyFont="1" applyFill="1" applyBorder="1" applyAlignment="1" applyProtection="1">
      <alignment vertical="center"/>
      <protection hidden="1"/>
    </xf>
    <xf numFmtId="0" fontId="133" fillId="0" borderId="13" xfId="0" applyFont="1" applyFill="1" applyBorder="1" applyAlignment="1" applyProtection="1">
      <alignment vertical="center"/>
      <protection hidden="1"/>
    </xf>
    <xf numFmtId="9" fontId="72" fillId="0" borderId="1" xfId="0" applyNumberFormat="1" applyFont="1" applyBorder="1" applyAlignment="1" applyProtection="1">
      <alignment vertical="center" wrapText="1"/>
      <protection hidden="1"/>
    </xf>
    <xf numFmtId="171" fontId="52" fillId="15" borderId="54" xfId="2" applyFont="1" applyFill="1" applyBorder="1" applyAlignment="1" applyProtection="1">
      <alignment vertical="center"/>
      <protection hidden="1"/>
    </xf>
    <xf numFmtId="49" fontId="51" fillId="15" borderId="55" xfId="2" applyNumberFormat="1" applyFont="1" applyFill="1" applyBorder="1" applyAlignment="1" applyProtection="1">
      <alignment horizontal="left" vertical="center"/>
      <protection hidden="1"/>
    </xf>
    <xf numFmtId="0" fontId="136" fillId="15" borderId="23" xfId="0" applyFont="1" applyFill="1" applyBorder="1" applyAlignment="1" applyProtection="1">
      <alignment vertical="center" wrapText="1"/>
      <protection hidden="1"/>
    </xf>
    <xf numFmtId="0" fontId="136" fillId="15" borderId="23" xfId="0" applyFont="1" applyFill="1" applyBorder="1" applyAlignment="1" applyProtection="1">
      <alignment vertical="center"/>
      <protection hidden="1"/>
    </xf>
    <xf numFmtId="0" fontId="57" fillId="9" borderId="23" xfId="0" applyFont="1" applyFill="1" applyBorder="1" applyAlignment="1" applyProtection="1">
      <alignment vertical="center"/>
      <protection hidden="1"/>
    </xf>
    <xf numFmtId="0" fontId="52" fillId="24" borderId="23" xfId="0" applyFont="1" applyFill="1" applyBorder="1" applyAlignment="1" applyProtection="1">
      <alignment vertical="center"/>
      <protection hidden="1"/>
    </xf>
    <xf numFmtId="165" fontId="104" fillId="27" borderId="1" xfId="0" applyNumberFormat="1" applyFont="1" applyFill="1" applyBorder="1" applyAlignment="1" applyProtection="1">
      <alignment horizontal="center" vertical="center"/>
      <protection hidden="1"/>
    </xf>
    <xf numFmtId="165" fontId="104" fillId="7" borderId="1" xfId="0" applyNumberFormat="1" applyFont="1" applyFill="1" applyBorder="1" applyAlignment="1" applyProtection="1">
      <alignment horizontal="center" vertical="center"/>
      <protection hidden="1"/>
    </xf>
    <xf numFmtId="166" fontId="104" fillId="7" borderId="1" xfId="0" applyNumberFormat="1" applyFont="1" applyFill="1" applyBorder="1" applyAlignment="1" applyProtection="1">
      <alignment horizontal="center" vertical="center"/>
      <protection hidden="1"/>
    </xf>
    <xf numFmtId="165" fontId="104" fillId="45" borderId="1" xfId="0" applyNumberFormat="1" applyFont="1" applyFill="1" applyBorder="1" applyAlignment="1" applyProtection="1">
      <alignment horizontal="center" vertical="center"/>
      <protection hidden="1"/>
    </xf>
    <xf numFmtId="3" fontId="104" fillId="2" borderId="1" xfId="0" applyNumberFormat="1" applyFont="1" applyFill="1" applyBorder="1" applyAlignment="1" applyProtection="1">
      <alignment horizontal="center" vertical="center"/>
      <protection hidden="1"/>
    </xf>
    <xf numFmtId="0" fontId="78" fillId="0" borderId="5" xfId="0" applyFont="1" applyBorder="1" applyAlignment="1" applyProtection="1">
      <alignment vertical="center"/>
      <protection hidden="1"/>
    </xf>
    <xf numFmtId="0" fontId="78" fillId="0" borderId="11" xfId="0" applyFont="1" applyBorder="1" applyAlignment="1" applyProtection="1">
      <alignment vertical="center"/>
      <protection hidden="1"/>
    </xf>
    <xf numFmtId="0" fontId="78" fillId="0" borderId="8" xfId="0" applyFont="1" applyBorder="1" applyAlignment="1" applyProtection="1">
      <alignment vertical="center"/>
      <protection hidden="1"/>
    </xf>
    <xf numFmtId="0" fontId="81" fillId="2" borderId="1" xfId="0" applyFont="1" applyFill="1" applyBorder="1" applyAlignment="1" applyProtection="1">
      <alignment horizontal="center" vertical="center"/>
      <protection hidden="1"/>
    </xf>
    <xf numFmtId="0" fontId="75" fillId="22" borderId="23" xfId="0" applyFont="1" applyFill="1" applyBorder="1" applyAlignment="1" applyProtection="1">
      <alignment vertical="center"/>
      <protection hidden="1"/>
    </xf>
    <xf numFmtId="1" fontId="59" fillId="11" borderId="23" xfId="0" applyNumberFormat="1" applyFont="1" applyFill="1" applyBorder="1" applyAlignment="1" applyProtection="1">
      <alignment horizontal="center" vertical="center"/>
      <protection locked="0"/>
    </xf>
    <xf numFmtId="1" fontId="59" fillId="11" borderId="1" xfId="0" applyNumberFormat="1" applyFont="1" applyFill="1" applyBorder="1" applyAlignment="1" applyProtection="1">
      <alignment horizontal="center" vertical="center"/>
      <protection locked="0"/>
    </xf>
    <xf numFmtId="1" fontId="59" fillId="11" borderId="1" xfId="0" applyNumberFormat="1" applyFont="1" applyFill="1" applyBorder="1" applyAlignment="1" applyProtection="1">
      <alignment vertical="center"/>
      <protection locked="0"/>
    </xf>
    <xf numFmtId="164" fontId="104" fillId="8" borderId="1" xfId="0" applyNumberFormat="1" applyFont="1" applyFill="1" applyBorder="1" applyAlignment="1" applyProtection="1">
      <alignment horizontal="center" vertical="center"/>
      <protection locked="0"/>
    </xf>
    <xf numFmtId="170" fontId="125" fillId="0" borderId="13" xfId="0" applyNumberFormat="1" applyFont="1" applyFill="1" applyBorder="1" applyAlignment="1" applyProtection="1">
      <alignment horizontal="center" vertical="center"/>
      <protection hidden="1"/>
    </xf>
    <xf numFmtId="1" fontId="125" fillId="0" borderId="13" xfId="0" applyNumberFormat="1" applyFont="1" applyFill="1" applyBorder="1" applyAlignment="1" applyProtection="1">
      <alignment horizontal="center" vertical="center"/>
      <protection hidden="1"/>
    </xf>
    <xf numFmtId="0" fontId="78" fillId="0" borderId="2" xfId="0" applyFont="1" applyBorder="1" applyAlignment="1">
      <alignment vertical="center"/>
    </xf>
    <xf numFmtId="0" fontId="51" fillId="45" borderId="0" xfId="0" applyFont="1" applyFill="1" applyAlignment="1">
      <alignment vertical="center"/>
    </xf>
    <xf numFmtId="0" fontId="85" fillId="45" borderId="0" xfId="0" applyFont="1" applyFill="1" applyAlignment="1">
      <alignment vertical="center"/>
    </xf>
    <xf numFmtId="0" fontId="86" fillId="0" borderId="10" xfId="0" applyFont="1" applyBorder="1" applyAlignment="1">
      <alignment vertical="center"/>
    </xf>
    <xf numFmtId="0" fontId="88" fillId="0" borderId="10" xfId="0" applyFont="1" applyBorder="1" applyAlignment="1">
      <alignment vertical="center"/>
    </xf>
    <xf numFmtId="0" fontId="137" fillId="0" borderId="10" xfId="0" applyFont="1" applyBorder="1" applyAlignment="1">
      <alignment vertical="center"/>
    </xf>
    <xf numFmtId="0" fontId="137" fillId="0" borderId="3" xfId="0" applyFont="1" applyBorder="1" applyAlignment="1">
      <alignment vertical="center"/>
    </xf>
    <xf numFmtId="0" fontId="139" fillId="0" borderId="10" xfId="0" applyFont="1" applyBorder="1" applyAlignment="1">
      <alignment vertical="center"/>
    </xf>
    <xf numFmtId="0" fontId="78" fillId="45" borderId="0" xfId="0" applyFont="1" applyFill="1" applyAlignment="1">
      <alignment vertical="center"/>
    </xf>
    <xf numFmtId="164" fontId="104" fillId="14" borderId="1" xfId="0" applyNumberFormat="1" applyFont="1" applyFill="1" applyBorder="1" applyAlignment="1" applyProtection="1">
      <alignment horizontal="center" vertical="center"/>
      <protection locked="0"/>
    </xf>
    <xf numFmtId="0" fontId="104" fillId="14" borderId="1" xfId="0" applyFont="1" applyFill="1" applyBorder="1" applyAlignment="1" applyProtection="1">
      <alignment horizontal="center" vertical="center"/>
      <protection locked="0"/>
    </xf>
    <xf numFmtId="1" fontId="111" fillId="14" borderId="1" xfId="0" applyNumberFormat="1" applyFont="1" applyFill="1" applyBorder="1" applyAlignment="1" applyProtection="1">
      <alignment horizontal="center" vertical="center"/>
      <protection locked="0"/>
    </xf>
    <xf numFmtId="1" fontId="111" fillId="11" borderId="1" xfId="0" applyNumberFormat="1" applyFont="1" applyFill="1" applyBorder="1" applyAlignment="1" applyProtection="1">
      <alignment horizontal="center" vertical="center"/>
      <protection locked="0"/>
    </xf>
    <xf numFmtId="1" fontId="111" fillId="12" borderId="1" xfId="0" applyNumberFormat="1" applyFont="1" applyFill="1" applyBorder="1" applyAlignment="1" applyProtection="1">
      <alignment horizontal="center" vertical="center"/>
      <protection locked="0"/>
    </xf>
    <xf numFmtId="1" fontId="111" fillId="18" borderId="1" xfId="0" applyNumberFormat="1" applyFont="1" applyFill="1" applyBorder="1" applyAlignment="1" applyProtection="1">
      <alignment horizontal="center" vertical="center"/>
      <protection locked="0"/>
    </xf>
    <xf numFmtId="169" fontId="111" fillId="22" borderId="1" xfId="0" applyNumberFormat="1" applyFont="1" applyFill="1" applyBorder="1" applyAlignment="1" applyProtection="1">
      <alignment horizontal="center" vertical="center"/>
      <protection locked="0"/>
    </xf>
    <xf numFmtId="1" fontId="111" fillId="22" borderId="1" xfId="0" applyNumberFormat="1" applyFont="1" applyFill="1" applyBorder="1" applyAlignment="1" applyProtection="1">
      <alignment horizontal="center" vertical="center"/>
      <protection locked="0"/>
    </xf>
    <xf numFmtId="9" fontId="53" fillId="13" borderId="24" xfId="0" applyNumberFormat="1" applyFont="1" applyFill="1" applyBorder="1" applyAlignment="1" applyProtection="1">
      <alignment horizontal="center" vertical="center"/>
      <protection hidden="1"/>
    </xf>
    <xf numFmtId="0" fontId="140" fillId="0" borderId="10" xfId="7" applyFont="1" applyFill="1" applyBorder="1" applyAlignment="1" applyProtection="1">
      <alignment vertical="center"/>
      <protection locked="0"/>
    </xf>
    <xf numFmtId="0" fontId="93" fillId="0" borderId="10" xfId="0" applyFont="1" applyBorder="1" applyAlignment="1">
      <alignment vertical="center"/>
    </xf>
    <xf numFmtId="0" fontId="116" fillId="0" borderId="3" xfId="0" applyFont="1" applyFill="1" applyBorder="1" applyAlignment="1">
      <alignment horizontal="center" vertical="center"/>
    </xf>
    <xf numFmtId="0" fontId="116" fillId="0" borderId="6" xfId="0" applyFont="1" applyFill="1" applyBorder="1" applyAlignment="1">
      <alignment horizontal="center" vertical="center"/>
    </xf>
    <xf numFmtId="1" fontId="116" fillId="0" borderId="3" xfId="0" applyNumberFormat="1" applyFont="1" applyFill="1" applyBorder="1" applyAlignment="1">
      <alignment horizontal="center" vertical="center"/>
    </xf>
    <xf numFmtId="0" fontId="116" fillId="0" borderId="58" xfId="0" applyFont="1" applyFill="1" applyBorder="1" applyAlignment="1">
      <alignment horizontal="center" vertical="center"/>
    </xf>
    <xf numFmtId="1" fontId="116" fillId="0" borderId="2" xfId="0" applyNumberFormat="1" applyFont="1" applyFill="1" applyBorder="1" applyAlignment="1">
      <alignment horizontal="center" vertical="center"/>
    </xf>
    <xf numFmtId="0" fontId="116" fillId="0" borderId="29" xfId="0" applyFont="1" applyFill="1" applyBorder="1" applyAlignment="1">
      <alignment horizontal="center" vertical="center"/>
    </xf>
    <xf numFmtId="0" fontId="115" fillId="0" borderId="14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3" fontId="134" fillId="0" borderId="1" xfId="0" applyNumberFormat="1" applyFont="1" applyFill="1" applyBorder="1" applyAlignment="1" applyProtection="1">
      <alignment horizontal="center" vertical="center"/>
      <protection hidden="1"/>
    </xf>
    <xf numFmtId="3" fontId="135" fillId="0" borderId="1" xfId="0" applyNumberFormat="1" applyFont="1" applyBorder="1" applyAlignment="1">
      <alignment vertical="center"/>
    </xf>
    <xf numFmtId="0" fontId="116" fillId="0" borderId="5" xfId="0" applyFont="1" applyFill="1" applyBorder="1" applyAlignment="1">
      <alignment horizontal="left" vertical="center" wrapText="1"/>
    </xf>
    <xf numFmtId="0" fontId="115" fillId="0" borderId="8" xfId="0" applyFont="1" applyBorder="1" applyAlignment="1">
      <alignment horizontal="left" vertical="center" wrapText="1"/>
    </xf>
    <xf numFmtId="1" fontId="106" fillId="0" borderId="2" xfId="0" applyNumberFormat="1" applyFont="1" applyFill="1" applyBorder="1" applyAlignment="1">
      <alignment horizontal="center" vertical="center"/>
    </xf>
    <xf numFmtId="1" fontId="108" fillId="0" borderId="29" xfId="0" applyNumberFormat="1" applyFont="1" applyFill="1" applyBorder="1" applyAlignment="1">
      <alignment horizontal="center" vertical="center"/>
    </xf>
    <xf numFmtId="1" fontId="106" fillId="0" borderId="3" xfId="0" applyNumberFormat="1" applyFont="1" applyFill="1" applyBorder="1" applyAlignment="1">
      <alignment horizontal="center" vertical="center"/>
    </xf>
    <xf numFmtId="0" fontId="108" fillId="0" borderId="58" xfId="0" applyFont="1" applyFill="1" applyBorder="1" applyAlignment="1">
      <alignment horizontal="center" vertical="center"/>
    </xf>
    <xf numFmtId="0" fontId="106" fillId="0" borderId="5" xfId="0" applyFont="1" applyFill="1" applyBorder="1" applyAlignment="1">
      <alignment horizontal="left" vertical="center"/>
    </xf>
    <xf numFmtId="0" fontId="108" fillId="0" borderId="8" xfId="0" applyFont="1" applyFill="1" applyBorder="1" applyAlignment="1">
      <alignment horizontal="left" vertical="center"/>
    </xf>
    <xf numFmtId="1" fontId="108" fillId="0" borderId="6" xfId="0" applyNumberFormat="1" applyFont="1" applyFill="1" applyBorder="1" applyAlignment="1">
      <alignment horizontal="center" vertical="center"/>
    </xf>
    <xf numFmtId="0" fontId="72" fillId="8" borderId="2" xfId="0" applyFont="1" applyFill="1" applyBorder="1" applyAlignment="1">
      <alignment horizontal="center" vertical="center" wrapText="1"/>
    </xf>
    <xf numFmtId="0" fontId="49" fillId="8" borderId="14" xfId="0" applyFont="1" applyFill="1" applyBorder="1" applyAlignment="1">
      <alignment horizontal="center" vertical="center" wrapText="1"/>
    </xf>
    <xf numFmtId="0" fontId="78" fillId="0" borderId="2" xfId="0" applyFont="1" applyBorder="1" applyAlignment="1">
      <alignment vertical="center"/>
    </xf>
    <xf numFmtId="0" fontId="0" fillId="0" borderId="14" xfId="0" applyBorder="1" applyAlignment="1">
      <alignment vertical="center"/>
    </xf>
    <xf numFmtId="1" fontId="98" fillId="40" borderId="2" xfId="0" applyNumberFormat="1" applyFont="1" applyFill="1" applyBorder="1" applyAlignment="1" applyProtection="1">
      <alignment horizontal="center" vertical="center"/>
      <protection locked="0"/>
    </xf>
    <xf numFmtId="1" fontId="100" fillId="40" borderId="14" xfId="0" applyNumberFormat="1" applyFont="1" applyFill="1" applyBorder="1" applyAlignment="1" applyProtection="1">
      <alignment horizontal="center" vertical="center"/>
      <protection locked="0"/>
    </xf>
    <xf numFmtId="1" fontId="98" fillId="37" borderId="2" xfId="0" applyNumberFormat="1" applyFont="1" applyFill="1" applyBorder="1" applyAlignment="1" applyProtection="1">
      <alignment horizontal="center" vertical="center"/>
      <protection locked="0"/>
    </xf>
    <xf numFmtId="1" fontId="100" fillId="37" borderId="14" xfId="0" applyNumberFormat="1" applyFont="1" applyFill="1" applyBorder="1" applyAlignment="1" applyProtection="1">
      <alignment horizontal="center" vertical="center"/>
      <protection locked="0"/>
    </xf>
    <xf numFmtId="1" fontId="99" fillId="9" borderId="2" xfId="0" applyNumberFormat="1" applyFont="1" applyFill="1" applyBorder="1" applyAlignment="1">
      <alignment horizontal="center" vertical="center"/>
    </xf>
    <xf numFmtId="1" fontId="101" fillId="0" borderId="14" xfId="0" applyNumberFormat="1" applyFont="1" applyBorder="1" applyAlignment="1">
      <alignment horizontal="center" vertical="center"/>
    </xf>
    <xf numFmtId="0" fontId="109" fillId="0" borderId="8" xfId="0" applyFont="1" applyBorder="1" applyAlignment="1">
      <alignment horizontal="left" vertical="center"/>
    </xf>
    <xf numFmtId="1" fontId="102" fillId="37" borderId="2" xfId="0" applyNumberFormat="1" applyFont="1" applyFill="1" applyBorder="1" applyAlignment="1" applyProtection="1">
      <alignment horizontal="center" vertical="center"/>
      <protection locked="0"/>
    </xf>
    <xf numFmtId="1" fontId="103" fillId="37" borderId="14" xfId="0" applyNumberFormat="1" applyFont="1" applyFill="1" applyBorder="1" applyAlignment="1" applyProtection="1">
      <alignment horizontal="center" vertical="center"/>
      <protection locked="0"/>
    </xf>
    <xf numFmtId="0" fontId="101" fillId="9" borderId="14" xfId="0" applyFont="1" applyFill="1" applyBorder="1" applyAlignment="1">
      <alignment horizontal="center" vertical="center"/>
    </xf>
    <xf numFmtId="0" fontId="106" fillId="0" borderId="5" xfId="0" applyFont="1" applyFill="1" applyBorder="1" applyAlignment="1">
      <alignment horizontal="left" vertical="center" wrapText="1"/>
    </xf>
    <xf numFmtId="0" fontId="108" fillId="0" borderId="8" xfId="0" applyFont="1" applyFill="1" applyBorder="1" applyAlignment="1">
      <alignment horizontal="left" vertical="center" wrapText="1"/>
    </xf>
    <xf numFmtId="1" fontId="106" fillId="0" borderId="14" xfId="0" applyNumberFormat="1" applyFont="1" applyFill="1" applyBorder="1" applyAlignment="1">
      <alignment horizontal="center" vertical="center"/>
    </xf>
    <xf numFmtId="1" fontId="98" fillId="40" borderId="2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" fontId="98" fillId="37" borderId="2" xfId="0" applyNumberFormat="1" applyFont="1" applyFill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0" fontId="106" fillId="0" borderId="3" xfId="0" applyFont="1" applyFill="1" applyBorder="1" applyAlignment="1">
      <alignment horizontal="center" vertical="center"/>
    </xf>
    <xf numFmtId="0" fontId="108" fillId="0" borderId="6" xfId="0" applyFont="1" applyFill="1" applyBorder="1" applyAlignment="1">
      <alignment horizontal="center" vertical="center"/>
    </xf>
    <xf numFmtId="0" fontId="72" fillId="27" borderId="2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72" fillId="29" borderId="2" xfId="0" applyFont="1" applyFill="1" applyBorder="1" applyAlignment="1">
      <alignment horizontal="center" vertical="center" wrapText="1"/>
    </xf>
    <xf numFmtId="0" fontId="74" fillId="0" borderId="62" xfId="0" applyFont="1" applyFill="1" applyBorder="1" applyAlignment="1">
      <alignment horizontal="center" vertical="center"/>
    </xf>
    <xf numFmtId="0" fontId="20" fillId="0" borderId="56" xfId="0" applyFont="1" applyFill="1" applyBorder="1" applyAlignment="1">
      <alignment horizontal="center" vertical="center"/>
    </xf>
  </cellXfs>
  <cellStyles count="8">
    <cellStyle name="Dark Blue 2" xfId="3" xr:uid="{00000000-0005-0000-0000-000001000000}"/>
    <cellStyle name="Dark Blue 3" xfId="2" xr:uid="{00000000-0005-0000-0000-000002000000}"/>
    <cellStyle name="Hyperlink" xfId="7" builtinId="8"/>
    <cellStyle name="Normal" xfId="0" builtinId="0"/>
    <cellStyle name="Normal 2 2 5" xfId="5" xr:uid="{00000000-0005-0000-0000-000004000000}"/>
    <cellStyle name="Normal 75 4" xfId="4" xr:uid="{00000000-0005-0000-0000-000005000000}"/>
    <cellStyle name="Percent" xfId="1" builtinId="5"/>
    <cellStyle name="Percent 4 3" xfId="6" xr:uid="{00000000-0005-0000-0000-000007000000}"/>
  </cellStyles>
  <dxfs count="115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B3FFCC"/>
        </patternFill>
      </fill>
    </dxf>
    <dxf>
      <fill>
        <patternFill>
          <bgColor rgb="FF8DEDF7"/>
        </patternFill>
      </fill>
    </dxf>
    <dxf>
      <fill>
        <patternFill>
          <bgColor rgb="FF90F7FA"/>
        </patternFill>
      </fill>
    </dxf>
    <dxf>
      <fill>
        <patternFill>
          <bgColor rgb="FF85FFFF"/>
        </patternFill>
      </fill>
    </dxf>
    <dxf>
      <fill>
        <patternFill>
          <bgColor rgb="FFE4FD87"/>
        </patternFill>
      </fill>
    </dxf>
    <dxf>
      <font>
        <color rgb="FFC00000"/>
      </font>
      <fill>
        <patternFill>
          <bgColor rgb="FF75F1F7"/>
        </patternFill>
      </fill>
    </dxf>
    <dxf>
      <fill>
        <patternFill>
          <bgColor rgb="FF7BEFF5"/>
        </patternFill>
      </fill>
    </dxf>
    <dxf>
      <font>
        <color rgb="FFC00000"/>
      </font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 tint="-4.9989318521683403E-2"/>
      </font>
    </dxf>
    <dxf>
      <font>
        <color rgb="FFC00000"/>
      </font>
    </dxf>
    <dxf>
      <font>
        <color rgb="FF0000FF"/>
      </font>
    </dxf>
    <dxf>
      <font>
        <color rgb="FFC00000"/>
      </font>
    </dxf>
    <dxf>
      <font>
        <color rgb="FF0000FF"/>
      </font>
    </dxf>
    <dxf>
      <fill>
        <patternFill>
          <bgColor theme="2"/>
        </patternFill>
      </fill>
    </dxf>
    <dxf>
      <font>
        <color rgb="FF0000FF"/>
      </font>
    </dxf>
    <dxf>
      <font>
        <color rgb="FFC00000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C00000"/>
      </font>
    </dxf>
    <dxf>
      <font>
        <color rgb="FF0000FF"/>
      </font>
    </dxf>
    <dxf>
      <fill>
        <patternFill>
          <bgColor theme="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C0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00FF"/>
      <color rgb="FF00FFFF"/>
      <color rgb="FFCCFFFF"/>
      <color rgb="FFCCFFCC"/>
      <color rgb="FF8DEDF7"/>
      <color rgb="FFFFB3B3"/>
      <color rgb="FF00A6B8"/>
      <color rgb="FF008F9D"/>
      <color rgb="FFFFBCA7"/>
      <color rgb="FFFFFA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74343</xdr:colOff>
      <xdr:row>2</xdr:row>
      <xdr:rowOff>185073</xdr:rowOff>
    </xdr:from>
    <xdr:to>
      <xdr:col>12</xdr:col>
      <xdr:colOff>1600079</xdr:colOff>
      <xdr:row>25</xdr:row>
      <xdr:rowOff>39732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1928" y="686878"/>
          <a:ext cx="11942834" cy="4984220"/>
        </a:xfrm>
        <a:prstGeom prst="rect">
          <a:avLst/>
        </a:prstGeom>
        <a:ln w="19050">
          <a:solidFill>
            <a:schemeClr val="accent6">
              <a:lumMod val="75000"/>
            </a:schemeClr>
          </a:solidFill>
        </a:ln>
      </xdr:spPr>
    </xdr:pic>
    <xdr:clientData/>
  </xdr:twoCellAnchor>
  <xdr:twoCellAnchor editAs="oneCell">
    <xdr:from>
      <xdr:col>9</xdr:col>
      <xdr:colOff>613318</xdr:colOff>
      <xdr:row>29</xdr:row>
      <xdr:rowOff>185853</xdr:rowOff>
    </xdr:from>
    <xdr:to>
      <xdr:col>10</xdr:col>
      <xdr:colOff>1384610</xdr:colOff>
      <xdr:row>40</xdr:row>
      <xdr:rowOff>205905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88269" y="6709316"/>
          <a:ext cx="2824975" cy="2473321"/>
        </a:xfrm>
        <a:prstGeom prst="rect">
          <a:avLst/>
        </a:prstGeom>
        <a:ln w="19050">
          <a:solidFill>
            <a:schemeClr val="accent6">
              <a:lumMod val="75000"/>
            </a:schemeClr>
          </a:solidFill>
        </a:ln>
      </xdr:spPr>
    </xdr:pic>
    <xdr:clientData/>
  </xdr:twoCellAnchor>
  <xdr:twoCellAnchor editAs="oneCell">
    <xdr:from>
      <xdr:col>7</xdr:col>
      <xdr:colOff>436757</xdr:colOff>
      <xdr:row>29</xdr:row>
      <xdr:rowOff>157978</xdr:rowOff>
    </xdr:from>
    <xdr:to>
      <xdr:col>8</xdr:col>
      <xdr:colOff>1217343</xdr:colOff>
      <xdr:row>40</xdr:row>
      <xdr:rowOff>195146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04342" y="6681441"/>
          <a:ext cx="2834269" cy="2490437"/>
        </a:xfrm>
        <a:prstGeom prst="rect">
          <a:avLst/>
        </a:prstGeom>
        <a:ln w="19050">
          <a:solidFill>
            <a:schemeClr val="accent6">
              <a:lumMod val="75000"/>
            </a:schemeClr>
          </a:solidFill>
        </a:ln>
      </xdr:spPr>
    </xdr:pic>
    <xdr:clientData/>
  </xdr:twoCellAnchor>
  <xdr:twoCellAnchor editAs="oneCell">
    <xdr:from>
      <xdr:col>11</xdr:col>
      <xdr:colOff>613317</xdr:colOff>
      <xdr:row>29</xdr:row>
      <xdr:rowOff>185855</xdr:rowOff>
    </xdr:from>
    <xdr:to>
      <xdr:col>12</xdr:col>
      <xdr:colOff>1235928</xdr:colOff>
      <xdr:row>40</xdr:row>
      <xdr:rowOff>204438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895634" y="6709318"/>
          <a:ext cx="2824977" cy="2471852"/>
        </a:xfrm>
        <a:prstGeom prst="rect">
          <a:avLst/>
        </a:prstGeom>
        <a:ln w="19050">
          <a:solidFill>
            <a:schemeClr val="accent6">
              <a:lumMod val="75000"/>
            </a:schemeClr>
          </a:solidFill>
        </a:ln>
      </xdr:spPr>
    </xdr:pic>
    <xdr:clientData/>
  </xdr:twoCellAnchor>
  <xdr:twoCellAnchor>
    <xdr:from>
      <xdr:col>11</xdr:col>
      <xdr:colOff>631901</xdr:colOff>
      <xdr:row>34</xdr:row>
      <xdr:rowOff>12312</xdr:rowOff>
    </xdr:from>
    <xdr:to>
      <xdr:col>12</xdr:col>
      <xdr:colOff>213732</xdr:colOff>
      <xdr:row>34</xdr:row>
      <xdr:rowOff>111513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9914218" y="7650897"/>
          <a:ext cx="1784197" cy="99201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693700</xdr:colOff>
      <xdr:row>30</xdr:row>
      <xdr:rowOff>208136</xdr:rowOff>
    </xdr:from>
    <xdr:to>
      <xdr:col>12</xdr:col>
      <xdr:colOff>1189463</xdr:colOff>
      <xdr:row>31</xdr:row>
      <xdr:rowOff>167267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22178383" y="6954624"/>
          <a:ext cx="495763" cy="182155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1151132</xdr:colOff>
      <xdr:row>31</xdr:row>
      <xdr:rowOff>152632</xdr:rowOff>
    </xdr:from>
    <xdr:to>
      <xdr:col>9</xdr:col>
      <xdr:colOff>1513082</xdr:colOff>
      <xdr:row>32</xdr:row>
      <xdr:rowOff>139390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6326083" y="7122144"/>
          <a:ext cx="361950" cy="209783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1424475</xdr:colOff>
      <xdr:row>32</xdr:row>
      <xdr:rowOff>138872</xdr:rowOff>
    </xdr:from>
    <xdr:to>
      <xdr:col>10</xdr:col>
      <xdr:colOff>83634</xdr:colOff>
      <xdr:row>33</xdr:row>
      <xdr:rowOff>92927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6599426" y="7331409"/>
          <a:ext cx="712842" cy="177079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76634</xdr:colOff>
      <xdr:row>33</xdr:row>
      <xdr:rowOff>80036</xdr:rowOff>
    </xdr:from>
    <xdr:to>
      <xdr:col>11</xdr:col>
      <xdr:colOff>618921</xdr:colOff>
      <xdr:row>34</xdr:row>
      <xdr:rowOff>61913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>
          <a:endCxn id="27" idx="1"/>
        </xdr:cNvCxnSpPr>
      </xdr:nvCxnSpPr>
      <xdr:spPr>
        <a:xfrm>
          <a:off x="17305268" y="7495597"/>
          <a:ext cx="2595970" cy="204901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1354410</xdr:colOff>
      <xdr:row>30</xdr:row>
      <xdr:rowOff>180510</xdr:rowOff>
    </xdr:from>
    <xdr:to>
      <xdr:col>8</xdr:col>
      <xdr:colOff>130098</xdr:colOff>
      <xdr:row>32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2421995" y="6926998"/>
          <a:ext cx="829371" cy="265539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1454770</xdr:colOff>
      <xdr:row>33</xdr:row>
      <xdr:rowOff>125219</xdr:rowOff>
    </xdr:from>
    <xdr:to>
      <xdr:col>8</xdr:col>
      <xdr:colOff>167269</xdr:colOff>
      <xdr:row>34</xdr:row>
      <xdr:rowOff>102220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2522355" y="7540780"/>
          <a:ext cx="766182" cy="200025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167501</xdr:colOff>
      <xdr:row>32</xdr:row>
      <xdr:rowOff>34499</xdr:rowOff>
    </xdr:from>
    <xdr:to>
      <xdr:col>9</xdr:col>
      <xdr:colOff>1151132</xdr:colOff>
      <xdr:row>33</xdr:row>
      <xdr:rowOff>181504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>
          <a:endCxn id="17" idx="1"/>
        </xdr:cNvCxnSpPr>
      </xdr:nvCxnSpPr>
      <xdr:spPr>
        <a:xfrm flipV="1">
          <a:off x="13288769" y="7227036"/>
          <a:ext cx="3037314" cy="370029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49157</xdr:colOff>
      <xdr:row>14</xdr:row>
      <xdr:rowOff>49163</xdr:rowOff>
    </xdr:from>
    <xdr:to>
      <xdr:col>3</xdr:col>
      <xdr:colOff>1310966</xdr:colOff>
      <xdr:row>15</xdr:row>
      <xdr:rowOff>237613</xdr:rowOff>
    </xdr:to>
    <xdr:sp macro="[0]!SolvePOLY4NPKBlend.Run_Mode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883738" y="3760840"/>
          <a:ext cx="2605551" cy="458838"/>
        </a:xfrm>
        <a:prstGeom prst="rect">
          <a:avLst/>
        </a:prstGeom>
        <a:solidFill>
          <a:srgbClr val="CCFFFF"/>
        </a:solidFill>
        <a:ln w="3175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rgbClr val="00B050"/>
              </a:solidFill>
              <a:latin typeface="Century Gothic" panose="020B0502020202020204" pitchFamily="34" charset="0"/>
            </a:rPr>
            <a:t>Run</a:t>
          </a:r>
          <a:r>
            <a:rPr lang="en-GB" sz="1800" b="1" baseline="0">
              <a:solidFill>
                <a:srgbClr val="00B050"/>
              </a:solidFill>
              <a:latin typeface="Century Gothic" panose="020B0502020202020204" pitchFamily="34" charset="0"/>
            </a:rPr>
            <a:t> Model</a:t>
          </a:r>
          <a:endParaRPr lang="en-GB" sz="1800" b="1">
            <a:solidFill>
              <a:srgbClr val="00B050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5</xdr:col>
      <xdr:colOff>49161</xdr:colOff>
      <xdr:row>14</xdr:row>
      <xdr:rowOff>49160</xdr:rowOff>
    </xdr:from>
    <xdr:to>
      <xdr:col>6</xdr:col>
      <xdr:colOff>1310968</xdr:colOff>
      <xdr:row>15</xdr:row>
      <xdr:rowOff>229417</xdr:rowOff>
    </xdr:to>
    <xdr:sp macro="[0]!SolvePOLY4NPKBlend.Print_Results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914967" y="3760837"/>
          <a:ext cx="2605549" cy="45064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3175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ysClr val="windowText" lastClr="000000"/>
              </a:solidFill>
              <a:latin typeface="Century Gothic" panose="020B0502020202020204" pitchFamily="34" charset="0"/>
            </a:rPr>
            <a:t>Print Results</a:t>
          </a:r>
        </a:p>
      </xdr:txBody>
    </xdr:sp>
    <xdr:clientData/>
  </xdr:twoCellAnchor>
  <xdr:twoCellAnchor>
    <xdr:from>
      <xdr:col>8</xdr:col>
      <xdr:colOff>40969</xdr:colOff>
      <xdr:row>14</xdr:row>
      <xdr:rowOff>40969</xdr:rowOff>
    </xdr:from>
    <xdr:to>
      <xdr:col>9</xdr:col>
      <xdr:colOff>1310967</xdr:colOff>
      <xdr:row>15</xdr:row>
      <xdr:rowOff>237613</xdr:rowOff>
    </xdr:to>
    <xdr:sp macro="[0]!SolvePOLY4NPKBlend.Reset_Model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1938001" y="3752646"/>
          <a:ext cx="2613740" cy="467032"/>
        </a:xfrm>
        <a:prstGeom prst="rect">
          <a:avLst/>
        </a:prstGeom>
        <a:solidFill>
          <a:srgbClr val="FFB3B3"/>
        </a:solidFill>
        <a:ln w="3175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ysClr val="windowText" lastClr="000000"/>
              </a:solidFill>
              <a:latin typeface="Century Gothic" panose="020B0502020202020204" pitchFamily="34" charset="0"/>
            </a:rPr>
            <a:t>Reset Model</a:t>
          </a:r>
        </a:p>
      </xdr:txBody>
    </xdr:sp>
    <xdr:clientData/>
  </xdr:twoCellAnchor>
  <xdr:twoCellAnchor>
    <xdr:from>
      <xdr:col>11</xdr:col>
      <xdr:colOff>40964</xdr:colOff>
      <xdr:row>14</xdr:row>
      <xdr:rowOff>40969</xdr:rowOff>
    </xdr:from>
    <xdr:to>
      <xdr:col>12</xdr:col>
      <xdr:colOff>1302773</xdr:colOff>
      <xdr:row>15</xdr:row>
      <xdr:rowOff>229419</xdr:rowOff>
    </xdr:to>
    <xdr:sp macro="[0]!SolvePOLY4NPKBlend.Reset_NP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5969222" y="3752646"/>
          <a:ext cx="2605551" cy="45883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0"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rgbClr val="FF0000"/>
              </a:solidFill>
              <a:latin typeface="Century Gothic" panose="020B0502020202020204" pitchFamily="34" charset="0"/>
            </a:rPr>
            <a:t>Reset NPK Inputs</a:t>
          </a:r>
        </a:p>
      </xdr:txBody>
    </xdr:sp>
    <xdr:clientData/>
  </xdr:twoCellAnchor>
  <xdr:twoCellAnchor>
    <xdr:from>
      <xdr:col>2</xdr:col>
      <xdr:colOff>32776</xdr:colOff>
      <xdr:row>2</xdr:row>
      <xdr:rowOff>32774</xdr:rowOff>
    </xdr:from>
    <xdr:to>
      <xdr:col>3</xdr:col>
      <xdr:colOff>1319161</xdr:colOff>
      <xdr:row>2</xdr:row>
      <xdr:rowOff>335935</xdr:rowOff>
    </xdr:to>
    <xdr:sp macro="[0]!SolvePOLY4NPKBlend.Show_Input_Form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957873" y="491613"/>
          <a:ext cx="2630127" cy="30316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C00000"/>
              </a:solidFill>
              <a:latin typeface="Century Gothic" panose="020B0502020202020204" pitchFamily="34" charset="0"/>
            </a:rPr>
            <a:t>Click To Add Inputs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22860</xdr:rowOff>
        </xdr:from>
        <xdr:to>
          <xdr:col>16</xdr:col>
          <xdr:colOff>312420</xdr:colOff>
          <xdr:row>1</xdr:row>
          <xdr:rowOff>205740</xdr:rowOff>
        </xdr:to>
        <xdr:sp macro="" textlink="">
          <xdr:nvSpPr>
            <xdr:cNvPr id="2066" name="TextBox1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20</xdr:row>
          <xdr:rowOff>15240</xdr:rowOff>
        </xdr:from>
        <xdr:to>
          <xdr:col>14</xdr:col>
          <xdr:colOff>1051560</xdr:colOff>
          <xdr:row>22</xdr:row>
          <xdr:rowOff>175260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15240</xdr:colOff>
          <xdr:row>20</xdr:row>
          <xdr:rowOff>15240</xdr:rowOff>
        </xdr:from>
        <xdr:to>
          <xdr:col>24</xdr:col>
          <xdr:colOff>777240</xdr:colOff>
          <xdr:row>22</xdr:row>
          <xdr:rowOff>175260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22860</xdr:colOff>
          <xdr:row>20</xdr:row>
          <xdr:rowOff>15240</xdr:rowOff>
        </xdr:from>
        <xdr:to>
          <xdr:col>25</xdr:col>
          <xdr:colOff>998220</xdr:colOff>
          <xdr:row>22</xdr:row>
          <xdr:rowOff>175260</xdr:rowOff>
        </xdr:to>
        <xdr:sp macro="" textlink="">
          <xdr:nvSpPr>
            <xdr:cNvPr id="14339" name="CommandButton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85</xdr:row>
      <xdr:rowOff>115187</xdr:rowOff>
    </xdr:from>
    <xdr:to>
      <xdr:col>40</xdr:col>
      <xdr:colOff>88604</xdr:colOff>
      <xdr:row>263</xdr:row>
      <xdr:rowOff>106325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0" y="16028582"/>
          <a:ext cx="30045837" cy="2945218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449580</xdr:colOff>
          <xdr:row>17</xdr:row>
          <xdr:rowOff>114300</xdr:rowOff>
        </xdr:from>
        <xdr:to>
          <xdr:col>7</xdr:col>
          <xdr:colOff>541020</xdr:colOff>
          <xdr:row>19</xdr:row>
          <xdr:rowOff>121920</xdr:rowOff>
        </xdr:to>
        <xdr:sp macro="" textlink="">
          <xdr:nvSpPr>
            <xdr:cNvPr id="5121" name="SolveForPOLYPrice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190500</xdr:colOff>
          <xdr:row>17</xdr:row>
          <xdr:rowOff>114300</xdr:rowOff>
        </xdr:from>
        <xdr:to>
          <xdr:col>13</xdr:col>
          <xdr:colOff>716280</xdr:colOff>
          <xdr:row>19</xdr:row>
          <xdr:rowOff>114300</xdr:rowOff>
        </xdr:to>
        <xdr:sp macro="" textlink="">
          <xdr:nvSpPr>
            <xdr:cNvPr id="5122" name="sbClearCellsOnlyData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723900</xdr:colOff>
          <xdr:row>17</xdr:row>
          <xdr:rowOff>106680</xdr:rowOff>
        </xdr:from>
        <xdr:to>
          <xdr:col>5</xdr:col>
          <xdr:colOff>320040</xdr:colOff>
          <xdr:row>19</xdr:row>
          <xdr:rowOff>121920</xdr:rowOff>
        </xdr:to>
        <xdr:sp macro="" textlink="">
          <xdr:nvSpPr>
            <xdr:cNvPr id="5123" name="DetermineOptimumPOLY4Pric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17</xdr:row>
          <xdr:rowOff>114300</xdr:rowOff>
        </xdr:from>
        <xdr:to>
          <xdr:col>10</xdr:col>
          <xdr:colOff>167640</xdr:colOff>
          <xdr:row>19</xdr:row>
          <xdr:rowOff>114300</xdr:rowOff>
        </xdr:to>
        <xdr:sp macro="" textlink="">
          <xdr:nvSpPr>
            <xdr:cNvPr id="5124" name="solveForPOLY4Inclusion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17</xdr:row>
          <xdr:rowOff>106680</xdr:rowOff>
        </xdr:from>
        <xdr:to>
          <xdr:col>2</xdr:col>
          <xdr:colOff>647700</xdr:colOff>
          <xdr:row>19</xdr:row>
          <xdr:rowOff>121920</xdr:rowOff>
        </xdr:to>
        <xdr:sp macro="" textlink="">
          <xdr:nvSpPr>
            <xdr:cNvPr id="5125" name="SolveStandardNPKBlend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304800</xdr:colOff>
          <xdr:row>17</xdr:row>
          <xdr:rowOff>121920</xdr:rowOff>
        </xdr:from>
        <xdr:to>
          <xdr:col>12</xdr:col>
          <xdr:colOff>99060</xdr:colOff>
          <xdr:row>19</xdr:row>
          <xdr:rowOff>114300</xdr:rowOff>
        </xdr:to>
        <xdr:sp macro="" textlink="">
          <xdr:nvSpPr>
            <xdr:cNvPr id="5126" name="SaveResults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22860</xdr:rowOff>
        </xdr:from>
        <xdr:to>
          <xdr:col>32</xdr:col>
          <xdr:colOff>30480</xdr:colOff>
          <xdr:row>1</xdr:row>
          <xdr:rowOff>205740</xdr:rowOff>
        </xdr:to>
        <xdr:sp macro="" textlink="">
          <xdr:nvSpPr>
            <xdr:cNvPr id="5127" name="TextBox1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20</xdr:row>
          <xdr:rowOff>30480</xdr:rowOff>
        </xdr:from>
        <xdr:to>
          <xdr:col>13</xdr:col>
          <xdr:colOff>701040</xdr:colOff>
          <xdr:row>21</xdr:row>
          <xdr:rowOff>220980</xdr:rowOff>
        </xdr:to>
        <xdr:sp macro="" textlink="">
          <xdr:nvSpPr>
            <xdr:cNvPr id="5128" name="ClearNPKData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wadjo Ahodo" id="{B2CC40C5-07E8-4843-8F07-B9427D7A80CE}" userId="046e5a858d805185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19-09-16T15:40:11.81" personId="{B2CC40C5-07E8-4843-8F07-B9427D7A80CE}" id="{D7C4EA34-E457-406D-A463-92FFB85F7A05}">
    <text>Users can type in fertilizer inputs in the yellow cells and the corresponding prices below OR users can use the Add Input Form through the "Click To Add Inputs" button</text>
  </threadedComment>
  <threadedComment ref="B9" dT="2019-09-16T15:40:57.02" personId="{B2CC40C5-07E8-4843-8F07-B9427D7A80CE}" id="{2F3A843E-5334-4770-99B6-2972DADCD88C}">
    <text>Enter the blend nutrients in the yellow cells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10" Type="http://schemas.openxmlformats.org/officeDocument/2006/relationships/comments" Target="../comments3.xml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3.emf"/><Relationship Id="rId1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12" Type="http://schemas.openxmlformats.org/officeDocument/2006/relationships/control" Target="../activeX/activeX9.xml"/><Relationship Id="rId17" Type="http://schemas.openxmlformats.org/officeDocument/2006/relationships/image" Target="../media/image1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6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8.xml"/><Relationship Id="rId19" Type="http://schemas.openxmlformats.org/officeDocument/2006/relationships/image" Target="../media/image16.emf"/><Relationship Id="rId4" Type="http://schemas.openxmlformats.org/officeDocument/2006/relationships/control" Target="../activeX/activeX5.xml"/><Relationship Id="rId9" Type="http://schemas.openxmlformats.org/officeDocument/2006/relationships/image" Target="../media/image11.emf"/><Relationship Id="rId1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367C6-2656-4934-A3A6-EE190D8CF674}">
  <sheetPr codeName="Sheet4"/>
  <dimension ref="B1:AA243"/>
  <sheetViews>
    <sheetView showGridLines="0" zoomScale="82" zoomScaleNormal="82" workbookViewId="0">
      <selection activeCell="B37" sqref="B37"/>
    </sheetView>
  </sheetViews>
  <sheetFormatPr defaultColWidth="29.88671875" defaultRowHeight="18.75" customHeight="1"/>
  <cols>
    <col min="1" max="1" width="4.109375" style="621" customWidth="1"/>
    <col min="2" max="2" width="29.88671875" style="621"/>
    <col min="3" max="3" width="31.44140625" style="621" customWidth="1"/>
    <col min="4" max="4" width="32.88671875" style="621" customWidth="1"/>
    <col min="5" max="5" width="31.109375" style="621" customWidth="1"/>
    <col min="6" max="6" width="27.88671875" style="621" customWidth="1"/>
    <col min="7" max="7" width="3.88671875" style="621" customWidth="1"/>
    <col min="8" max="10" width="29.88671875" style="621"/>
    <col min="11" max="11" width="29.88671875" style="621" customWidth="1"/>
    <col min="12" max="12" width="32.109375" style="621" customWidth="1"/>
    <col min="13" max="13" width="24.109375" style="621" customWidth="1"/>
    <col min="14" max="14" width="13.44140625" style="621" customWidth="1"/>
    <col min="15" max="15" width="11.109375" style="621" customWidth="1"/>
    <col min="16" max="25" width="9.88671875" style="621" customWidth="1"/>
    <col min="26" max="27" width="12.109375" style="621" customWidth="1"/>
    <col min="28" max="28" width="13.5546875" style="621" customWidth="1"/>
    <col min="29" max="16384" width="29.88671875" style="621"/>
  </cols>
  <sheetData>
    <row r="1" spans="2:13" s="1136" customFormat="1" ht="22.2" customHeight="1">
      <c r="B1" s="1135" t="s">
        <v>122</v>
      </c>
    </row>
    <row r="2" spans="2:13" ht="17.399999999999999" customHeight="1"/>
    <row r="3" spans="2:13" ht="17.399999999999999" customHeight="1">
      <c r="B3" s="740" t="s">
        <v>221</v>
      </c>
      <c r="C3" s="633"/>
      <c r="D3" s="633"/>
      <c r="E3" s="633"/>
      <c r="F3" s="634"/>
      <c r="G3" s="1134"/>
      <c r="H3" s="740"/>
      <c r="I3" s="633"/>
      <c r="J3" s="633"/>
      <c r="K3" s="633"/>
      <c r="L3" s="633"/>
      <c r="M3" s="634"/>
    </row>
    <row r="4" spans="2:13" ht="17.399999999999999" customHeight="1">
      <c r="B4" s="671" t="s">
        <v>123</v>
      </c>
      <c r="C4" s="645"/>
      <c r="D4" s="645"/>
      <c r="E4" s="645"/>
      <c r="F4" s="646"/>
      <c r="G4" s="690"/>
      <c r="H4" s="671"/>
      <c r="I4" s="645"/>
      <c r="J4" s="645"/>
      <c r="K4" s="645"/>
      <c r="L4" s="645"/>
      <c r="M4" s="646"/>
    </row>
    <row r="5" spans="2:13" ht="17.399999999999999" customHeight="1">
      <c r="B5" s="671"/>
      <c r="C5" s="645"/>
      <c r="D5" s="645"/>
      <c r="E5" s="645"/>
      <c r="F5" s="646"/>
      <c r="G5" s="690"/>
      <c r="H5" s="671"/>
      <c r="I5" s="645"/>
      <c r="J5" s="645"/>
      <c r="K5" s="645"/>
      <c r="L5" s="645"/>
      <c r="M5" s="646"/>
    </row>
    <row r="6" spans="2:13" ht="17.399999999999999" customHeight="1">
      <c r="B6" s="671" t="s">
        <v>241</v>
      </c>
      <c r="C6" s="645"/>
      <c r="D6" s="645"/>
      <c r="E6" s="645"/>
      <c r="F6" s="646"/>
      <c r="G6" s="690"/>
      <c r="H6" s="671"/>
      <c r="I6" s="645"/>
      <c r="J6" s="645"/>
      <c r="K6" s="645"/>
      <c r="L6" s="645"/>
      <c r="M6" s="646"/>
    </row>
    <row r="7" spans="2:13" ht="17.399999999999999" customHeight="1">
      <c r="B7" s="671" t="s">
        <v>237</v>
      </c>
      <c r="C7" s="645"/>
      <c r="D7" s="645"/>
      <c r="E7" s="645"/>
      <c r="F7" s="646"/>
      <c r="G7" s="690"/>
      <c r="H7" s="671"/>
      <c r="I7" s="645"/>
      <c r="J7" s="645"/>
      <c r="K7" s="645"/>
      <c r="L7" s="645"/>
      <c r="M7" s="646"/>
    </row>
    <row r="8" spans="2:13" ht="17.399999999999999" customHeight="1">
      <c r="B8" s="1153" t="s">
        <v>242</v>
      </c>
      <c r="C8" s="645"/>
      <c r="D8" s="645"/>
      <c r="E8" s="645"/>
      <c r="F8" s="646"/>
      <c r="G8" s="690"/>
      <c r="H8" s="671"/>
      <c r="I8" s="645"/>
      <c r="J8" s="645"/>
      <c r="K8" s="645"/>
      <c r="L8" s="645"/>
      <c r="M8" s="646"/>
    </row>
    <row r="9" spans="2:13" ht="17.399999999999999" customHeight="1">
      <c r="B9" s="671"/>
      <c r="C9" s="645"/>
      <c r="D9" s="645"/>
      <c r="E9" s="645"/>
      <c r="F9" s="646"/>
      <c r="G9" s="690"/>
      <c r="H9" s="671"/>
      <c r="I9" s="645"/>
      <c r="J9" s="645"/>
      <c r="K9" s="645"/>
      <c r="L9" s="645"/>
      <c r="M9" s="646"/>
    </row>
    <row r="10" spans="2:13" ht="17.399999999999999" customHeight="1">
      <c r="B10" s="1137" t="s">
        <v>222</v>
      </c>
      <c r="C10" s="645"/>
      <c r="D10" s="645"/>
      <c r="E10" s="645"/>
      <c r="F10" s="646"/>
      <c r="G10" s="690"/>
      <c r="H10" s="671"/>
      <c r="I10" s="645"/>
      <c r="J10" s="645"/>
      <c r="K10" s="645"/>
      <c r="L10" s="645"/>
      <c r="M10" s="646"/>
    </row>
    <row r="11" spans="2:13" ht="17.399999999999999" customHeight="1">
      <c r="B11" s="671" t="s">
        <v>224</v>
      </c>
      <c r="C11" s="645"/>
      <c r="D11" s="645"/>
      <c r="E11" s="645"/>
      <c r="F11" s="646"/>
      <c r="G11" s="690"/>
      <c r="H11" s="671"/>
      <c r="I11" s="645"/>
      <c r="J11" s="645"/>
      <c r="K11" s="645"/>
      <c r="L11" s="645"/>
      <c r="M11" s="646"/>
    </row>
    <row r="12" spans="2:13" ht="17.399999999999999" customHeight="1">
      <c r="B12" s="671" t="s">
        <v>232</v>
      </c>
      <c r="C12" s="645"/>
      <c r="D12" s="645"/>
      <c r="E12" s="645"/>
      <c r="F12" s="646"/>
      <c r="G12" s="690"/>
      <c r="H12" s="671"/>
      <c r="I12" s="645"/>
      <c r="J12" s="645"/>
      <c r="K12" s="645"/>
      <c r="L12" s="645"/>
      <c r="M12" s="646"/>
    </row>
    <row r="13" spans="2:13" ht="17.399999999999999" customHeight="1">
      <c r="B13" s="671" t="s">
        <v>225</v>
      </c>
      <c r="C13" s="645"/>
      <c r="D13" s="645"/>
      <c r="E13" s="645"/>
      <c r="F13" s="646"/>
      <c r="G13" s="690"/>
      <c r="H13" s="671"/>
      <c r="I13" s="645"/>
      <c r="J13" s="645"/>
      <c r="K13" s="645"/>
      <c r="L13" s="645"/>
      <c r="M13" s="646"/>
    </row>
    <row r="14" spans="2:13" ht="17.399999999999999" customHeight="1">
      <c r="B14" s="671" t="s">
        <v>226</v>
      </c>
      <c r="C14" s="645"/>
      <c r="D14" s="645"/>
      <c r="E14" s="645"/>
      <c r="F14" s="646"/>
      <c r="G14" s="690"/>
      <c r="H14" s="671"/>
      <c r="I14" s="645"/>
      <c r="J14" s="645"/>
      <c r="K14" s="645"/>
      <c r="L14" s="645"/>
      <c r="M14" s="646"/>
    </row>
    <row r="15" spans="2:13" ht="17.399999999999999" customHeight="1">
      <c r="B15" s="671" t="s">
        <v>227</v>
      </c>
      <c r="C15" s="645"/>
      <c r="D15" s="645"/>
      <c r="E15" s="645"/>
      <c r="F15" s="646"/>
      <c r="G15" s="690"/>
      <c r="H15" s="671"/>
      <c r="I15" s="645"/>
      <c r="J15" s="645"/>
      <c r="K15" s="645"/>
      <c r="L15" s="645"/>
      <c r="M15" s="646"/>
    </row>
    <row r="16" spans="2:13" ht="17.399999999999999" customHeight="1">
      <c r="B16" s="671" t="s">
        <v>238</v>
      </c>
      <c r="C16" s="645"/>
      <c r="D16" s="645"/>
      <c r="E16" s="645"/>
      <c r="F16" s="646"/>
      <c r="G16" s="690"/>
      <c r="H16" s="671"/>
      <c r="I16" s="645"/>
      <c r="J16" s="645"/>
      <c r="K16" s="645"/>
      <c r="L16" s="645"/>
      <c r="M16" s="646"/>
    </row>
    <row r="17" spans="2:13" ht="17.399999999999999" customHeight="1">
      <c r="B17" s="671"/>
      <c r="C17" s="645"/>
      <c r="D17" s="645"/>
      <c r="E17" s="645"/>
      <c r="F17" s="646"/>
      <c r="G17" s="690"/>
      <c r="H17" s="671"/>
      <c r="I17" s="645"/>
      <c r="J17" s="645"/>
      <c r="K17" s="645"/>
      <c r="L17" s="645"/>
      <c r="M17" s="646"/>
    </row>
    <row r="18" spans="2:13" ht="17.399999999999999" customHeight="1">
      <c r="B18" s="1141" t="s">
        <v>228</v>
      </c>
      <c r="C18" s="645"/>
      <c r="D18" s="645"/>
      <c r="E18" s="645"/>
      <c r="F18" s="646"/>
      <c r="G18" s="690"/>
      <c r="H18" s="671"/>
      <c r="I18" s="645"/>
      <c r="J18" s="645"/>
      <c r="K18" s="645"/>
      <c r="L18" s="645"/>
      <c r="M18" s="646"/>
    </row>
    <row r="19" spans="2:13" ht="17.399999999999999" customHeight="1">
      <c r="B19" s="671" t="s">
        <v>229</v>
      </c>
      <c r="C19" s="645"/>
      <c r="D19" s="645"/>
      <c r="E19" s="645"/>
      <c r="F19" s="646"/>
      <c r="G19" s="690"/>
      <c r="H19" s="671"/>
      <c r="I19" s="645"/>
      <c r="J19" s="645"/>
      <c r="K19" s="645"/>
      <c r="L19" s="645"/>
      <c r="M19" s="646"/>
    </row>
    <row r="20" spans="2:13" ht="17.399999999999999" customHeight="1">
      <c r="B20" s="671" t="s">
        <v>230</v>
      </c>
      <c r="C20" s="645"/>
      <c r="D20" s="645"/>
      <c r="E20" s="645"/>
      <c r="F20" s="646"/>
      <c r="G20" s="690"/>
      <c r="H20" s="671"/>
      <c r="I20" s="645"/>
      <c r="J20" s="645"/>
      <c r="K20" s="645"/>
      <c r="L20" s="645"/>
      <c r="M20" s="646"/>
    </row>
    <row r="21" spans="2:13" ht="17.399999999999999" customHeight="1">
      <c r="B21" s="671"/>
      <c r="C21" s="645"/>
      <c r="D21" s="645"/>
      <c r="E21" s="645"/>
      <c r="F21" s="646"/>
      <c r="G21" s="690"/>
      <c r="H21" s="671"/>
      <c r="I21" s="645"/>
      <c r="J21" s="645"/>
      <c r="K21" s="645"/>
      <c r="L21" s="645"/>
      <c r="M21" s="646"/>
    </row>
    <row r="22" spans="2:13" ht="17.399999999999999" customHeight="1">
      <c r="B22" s="671"/>
      <c r="C22" s="645"/>
      <c r="D22" s="645"/>
      <c r="E22" s="645"/>
      <c r="F22" s="646"/>
      <c r="G22" s="690"/>
      <c r="H22" s="671"/>
      <c r="I22" s="645"/>
      <c r="J22" s="645"/>
      <c r="K22" s="645"/>
      <c r="L22" s="645"/>
      <c r="M22" s="646"/>
    </row>
    <row r="23" spans="2:13" ht="17.399999999999999" customHeight="1">
      <c r="B23" s="671"/>
      <c r="C23" s="645"/>
      <c r="D23" s="645"/>
      <c r="E23" s="645"/>
      <c r="F23" s="646"/>
      <c r="G23" s="690"/>
      <c r="H23" s="671"/>
      <c r="I23" s="645"/>
      <c r="J23" s="645"/>
      <c r="K23" s="645"/>
      <c r="L23" s="645"/>
      <c r="M23" s="646"/>
    </row>
    <row r="24" spans="2:13" ht="17.399999999999999" customHeight="1">
      <c r="B24" s="671"/>
      <c r="C24" s="645"/>
      <c r="D24" s="645"/>
      <c r="E24" s="645"/>
      <c r="F24" s="646"/>
      <c r="G24" s="690"/>
      <c r="H24" s="671"/>
      <c r="I24" s="645"/>
      <c r="J24" s="645"/>
      <c r="K24" s="645"/>
      <c r="L24" s="645"/>
      <c r="M24" s="646"/>
    </row>
    <row r="25" spans="2:13" ht="17.399999999999999" customHeight="1">
      <c r="B25" s="671"/>
      <c r="C25" s="645"/>
      <c r="D25" s="645"/>
      <c r="E25" s="645"/>
      <c r="F25" s="646"/>
      <c r="G25" s="690"/>
      <c r="H25" s="671"/>
      <c r="I25" s="645"/>
      <c r="J25" s="645"/>
      <c r="K25" s="645"/>
      <c r="L25" s="645"/>
      <c r="M25" s="646"/>
    </row>
    <row r="26" spans="2:13" ht="17.399999999999999" customHeight="1">
      <c r="B26" s="672"/>
      <c r="C26" s="673"/>
      <c r="D26" s="673"/>
      <c r="E26" s="673"/>
      <c r="F26" s="674"/>
      <c r="G26" s="690"/>
      <c r="H26" s="671"/>
      <c r="I26" s="645"/>
      <c r="J26" s="645"/>
      <c r="K26" s="645"/>
      <c r="L26" s="645"/>
      <c r="M26" s="646"/>
    </row>
    <row r="27" spans="2:13" ht="17.399999999999999" customHeight="1">
      <c r="B27" s="740"/>
      <c r="C27" s="633"/>
      <c r="D27" s="633"/>
      <c r="E27" s="633"/>
      <c r="F27" s="634"/>
      <c r="G27" s="690"/>
      <c r="H27" s="1140"/>
      <c r="I27" s="633"/>
      <c r="J27" s="633"/>
      <c r="K27" s="633"/>
      <c r="L27" s="633"/>
      <c r="M27" s="634"/>
    </row>
    <row r="28" spans="2:13" ht="17.399999999999999" customHeight="1">
      <c r="B28" s="1139" t="s">
        <v>223</v>
      </c>
      <c r="C28" s="645"/>
      <c r="D28" s="645"/>
      <c r="E28" s="645"/>
      <c r="F28" s="646"/>
      <c r="G28" s="690"/>
      <c r="H28" s="1139" t="s">
        <v>223</v>
      </c>
      <c r="I28" s="645"/>
      <c r="J28" s="645"/>
      <c r="K28" s="645"/>
      <c r="L28" s="645"/>
      <c r="M28" s="646"/>
    </row>
    <row r="29" spans="2:13" ht="17.399999999999999" customHeight="1">
      <c r="B29" s="671" t="s">
        <v>239</v>
      </c>
      <c r="C29" s="645"/>
      <c r="D29" s="645"/>
      <c r="E29" s="645"/>
      <c r="F29" s="646"/>
      <c r="G29" s="690"/>
      <c r="H29" s="671"/>
      <c r="I29" s="645"/>
      <c r="J29" s="645"/>
      <c r="K29" s="645"/>
      <c r="L29" s="645"/>
      <c r="M29" s="646"/>
    </row>
    <row r="30" spans="2:13" ht="17.399999999999999" customHeight="1">
      <c r="B30" s="671" t="s">
        <v>233</v>
      </c>
      <c r="C30" s="645"/>
      <c r="D30" s="645"/>
      <c r="E30" s="645"/>
      <c r="F30" s="646"/>
      <c r="G30" s="690"/>
      <c r="H30" s="671"/>
      <c r="I30" s="645"/>
      <c r="J30" s="645"/>
      <c r="K30" s="645"/>
      <c r="L30" s="645"/>
      <c r="M30" s="646"/>
    </row>
    <row r="31" spans="2:13" ht="17.399999999999999" customHeight="1">
      <c r="B31" s="671" t="s">
        <v>234</v>
      </c>
      <c r="C31" s="645"/>
      <c r="D31" s="645"/>
      <c r="E31" s="645"/>
      <c r="F31" s="646"/>
      <c r="G31" s="690"/>
      <c r="H31" s="671"/>
      <c r="I31" s="645"/>
      <c r="J31" s="645"/>
      <c r="K31" s="645"/>
      <c r="L31" s="645"/>
      <c r="M31" s="646"/>
    </row>
    <row r="32" spans="2:13" ht="17.399999999999999" customHeight="1">
      <c r="B32" s="671" t="s">
        <v>235</v>
      </c>
      <c r="C32" s="645"/>
      <c r="D32" s="645"/>
      <c r="E32" s="645"/>
      <c r="F32" s="646"/>
      <c r="G32" s="690"/>
      <c r="H32" s="671"/>
      <c r="I32" s="645"/>
      <c r="J32" s="645"/>
      <c r="K32" s="645"/>
      <c r="L32" s="645"/>
      <c r="M32" s="646"/>
    </row>
    <row r="33" spans="2:13" ht="17.399999999999999" customHeight="1">
      <c r="B33" s="671" t="s">
        <v>240</v>
      </c>
      <c r="C33" s="645"/>
      <c r="D33" s="645"/>
      <c r="E33" s="645"/>
      <c r="F33" s="646"/>
      <c r="G33" s="690"/>
      <c r="H33" s="671"/>
      <c r="I33" s="645"/>
      <c r="J33" s="645"/>
      <c r="K33" s="645"/>
      <c r="L33" s="645"/>
      <c r="M33" s="646"/>
    </row>
    <row r="34" spans="2:13" ht="17.399999999999999" customHeight="1">
      <c r="B34" s="671"/>
      <c r="C34" s="645"/>
      <c r="D34" s="645"/>
      <c r="E34" s="645"/>
      <c r="F34" s="646"/>
      <c r="G34" s="690"/>
      <c r="H34" s="671"/>
      <c r="I34" s="645"/>
      <c r="J34" s="645"/>
      <c r="K34" s="645"/>
      <c r="L34" s="645"/>
      <c r="M34" s="646"/>
    </row>
    <row r="35" spans="2:13" ht="17.399999999999999" customHeight="1">
      <c r="B35" s="1138"/>
      <c r="C35" s="645"/>
      <c r="D35" s="645"/>
      <c r="E35" s="645"/>
      <c r="F35" s="646"/>
      <c r="G35" s="690"/>
      <c r="H35" s="671"/>
      <c r="I35" s="645"/>
      <c r="J35" s="645"/>
      <c r="K35" s="645"/>
      <c r="L35" s="645"/>
      <c r="M35" s="646"/>
    </row>
    <row r="36" spans="2:13" ht="17.399999999999999" customHeight="1">
      <c r="B36" s="671"/>
      <c r="C36" s="645"/>
      <c r="D36" s="645"/>
      <c r="E36" s="645"/>
      <c r="F36" s="646"/>
      <c r="G36" s="690"/>
      <c r="H36" s="671"/>
      <c r="I36" s="645"/>
      <c r="J36" s="645"/>
      <c r="K36" s="645"/>
      <c r="L36" s="645"/>
      <c r="M36" s="646"/>
    </row>
    <row r="37" spans="2:13" ht="17.399999999999999" customHeight="1">
      <c r="B37" s="1152" t="s">
        <v>236</v>
      </c>
      <c r="C37" s="645"/>
      <c r="D37" s="645"/>
      <c r="E37" s="645"/>
      <c r="F37" s="646"/>
      <c r="G37" s="690"/>
      <c r="H37" s="671"/>
      <c r="I37" s="645"/>
      <c r="J37" s="645"/>
      <c r="K37" s="645"/>
      <c r="L37" s="645"/>
      <c r="M37" s="646"/>
    </row>
    <row r="38" spans="2:13" ht="17.399999999999999" customHeight="1">
      <c r="B38" s="671"/>
      <c r="C38" s="645"/>
      <c r="D38" s="645"/>
      <c r="E38" s="645"/>
      <c r="F38" s="646"/>
      <c r="G38" s="690"/>
      <c r="H38" s="671"/>
      <c r="I38" s="645"/>
      <c r="J38" s="645"/>
      <c r="K38" s="645"/>
      <c r="L38" s="645"/>
      <c r="M38" s="646"/>
    </row>
    <row r="39" spans="2:13" ht="17.399999999999999" customHeight="1">
      <c r="B39" s="671"/>
      <c r="C39" s="645"/>
      <c r="D39" s="645"/>
      <c r="E39" s="645"/>
      <c r="F39" s="646"/>
      <c r="G39" s="690"/>
      <c r="H39" s="671"/>
      <c r="I39" s="645"/>
      <c r="J39" s="645"/>
      <c r="K39" s="645"/>
      <c r="L39" s="645"/>
      <c r="M39" s="646"/>
    </row>
    <row r="40" spans="2:13" ht="17.399999999999999" customHeight="1">
      <c r="B40" s="671"/>
      <c r="C40" s="645"/>
      <c r="D40" s="645"/>
      <c r="E40" s="645"/>
      <c r="F40" s="646"/>
      <c r="G40" s="690"/>
      <c r="H40" s="671"/>
      <c r="I40" s="645"/>
      <c r="J40" s="645"/>
      <c r="K40" s="645"/>
      <c r="L40" s="645"/>
      <c r="M40" s="646"/>
    </row>
    <row r="41" spans="2:13" ht="17.399999999999999" customHeight="1">
      <c r="B41" s="671"/>
      <c r="C41" s="645"/>
      <c r="D41" s="645"/>
      <c r="E41" s="645"/>
      <c r="F41" s="646"/>
      <c r="G41" s="690"/>
      <c r="H41" s="671"/>
      <c r="I41" s="645"/>
      <c r="J41" s="645"/>
      <c r="K41" s="645"/>
      <c r="L41" s="645"/>
      <c r="M41" s="646"/>
    </row>
    <row r="42" spans="2:13" ht="17.399999999999999" customHeight="1">
      <c r="B42" s="672"/>
      <c r="C42" s="673"/>
      <c r="D42" s="673"/>
      <c r="E42" s="673"/>
      <c r="F42" s="674"/>
      <c r="G42" s="757"/>
      <c r="H42" s="672"/>
      <c r="I42" s="673"/>
      <c r="J42" s="673"/>
      <c r="K42" s="673"/>
      <c r="L42" s="673"/>
      <c r="M42" s="674"/>
    </row>
    <row r="43" spans="2:13" ht="12.6" customHeight="1"/>
    <row r="44" spans="2:13" s="1142" customFormat="1" ht="17.399999999999999" customHeight="1"/>
    <row r="45" spans="2:13" ht="17.399999999999999" customHeight="1"/>
    <row r="46" spans="2:13" ht="17.399999999999999" customHeight="1"/>
    <row r="47" spans="2:13" ht="17.399999999999999" customHeight="1"/>
    <row r="48" spans="2:13" ht="17.399999999999999" customHeight="1"/>
    <row r="49" ht="17.399999999999999" customHeight="1"/>
    <row r="50" ht="17.399999999999999" customHeight="1"/>
    <row r="51" ht="17.399999999999999" customHeight="1"/>
    <row r="52" ht="17.399999999999999" customHeight="1"/>
    <row r="53" ht="17.399999999999999" customHeight="1"/>
    <row r="54" ht="17.399999999999999" customHeight="1"/>
    <row r="55" ht="17.399999999999999" customHeight="1"/>
    <row r="56" ht="17.399999999999999" customHeight="1"/>
    <row r="57" ht="17.399999999999999" customHeight="1"/>
    <row r="58" ht="17.399999999999999" customHeight="1"/>
    <row r="59" ht="17.399999999999999" customHeight="1"/>
    <row r="60" ht="17.399999999999999" customHeight="1"/>
    <row r="61" ht="17.399999999999999" customHeight="1"/>
    <row r="62" ht="17.399999999999999" customHeight="1"/>
    <row r="63" ht="17.399999999999999" customHeight="1"/>
    <row r="64" ht="17.399999999999999" customHeight="1"/>
    <row r="65" ht="17.399999999999999" customHeight="1"/>
    <row r="66" ht="17.399999999999999" customHeight="1"/>
    <row r="67" ht="17.399999999999999" customHeight="1"/>
    <row r="68" ht="17.399999999999999" customHeight="1"/>
    <row r="69" ht="17.399999999999999" customHeight="1"/>
    <row r="70" ht="17.399999999999999" customHeight="1"/>
    <row r="71" ht="17.399999999999999" customHeight="1"/>
    <row r="72" ht="17.399999999999999" customHeight="1"/>
    <row r="73" ht="17.399999999999999" customHeight="1"/>
    <row r="74" ht="17.399999999999999" customHeight="1"/>
    <row r="75" ht="17.399999999999999" customHeight="1"/>
    <row r="76" ht="17.399999999999999" customHeight="1"/>
    <row r="77" ht="17.399999999999999" customHeight="1"/>
    <row r="78" ht="17.399999999999999" customHeight="1"/>
    <row r="79" ht="17.399999999999999" customHeight="1"/>
    <row r="80" ht="17.399999999999999" customHeight="1"/>
    <row r="81" ht="17.399999999999999" customHeight="1"/>
    <row r="82" ht="17.399999999999999" customHeight="1"/>
    <row r="83" ht="17.399999999999999" customHeight="1"/>
    <row r="84" ht="17.399999999999999" customHeight="1"/>
    <row r="85" ht="17.399999999999999" customHeight="1"/>
    <row r="86" ht="17.399999999999999" customHeight="1"/>
    <row r="87" ht="17.399999999999999" customHeight="1"/>
    <row r="88" ht="17.399999999999999" customHeight="1"/>
    <row r="89" ht="17.399999999999999" customHeight="1"/>
    <row r="90" ht="17.399999999999999" customHeight="1"/>
    <row r="91" ht="17.399999999999999" customHeight="1"/>
    <row r="92" ht="17.399999999999999" customHeight="1"/>
    <row r="93" ht="17.399999999999999" customHeight="1"/>
    <row r="94" ht="17.399999999999999" customHeight="1"/>
    <row r="95" ht="17.399999999999999" customHeight="1"/>
    <row r="96" ht="17.399999999999999" customHeight="1"/>
    <row r="97" ht="17.399999999999999" customHeight="1"/>
    <row r="98" ht="17.399999999999999" customHeight="1"/>
    <row r="99" ht="17.399999999999999" customHeight="1"/>
    <row r="100" ht="17.399999999999999" customHeight="1"/>
    <row r="101" ht="17.399999999999999" customHeight="1"/>
    <row r="102" ht="17.399999999999999" customHeight="1"/>
    <row r="103" ht="17.399999999999999" customHeight="1"/>
    <row r="104" ht="17.399999999999999" customHeight="1"/>
    <row r="105" ht="17.399999999999999" customHeight="1"/>
    <row r="106" ht="17.399999999999999" customHeight="1"/>
    <row r="107" ht="17.399999999999999" customHeight="1"/>
    <row r="178" spans="15:27" ht="18.75" customHeight="1">
      <c r="O178" s="955" t="e">
        <f>"Blend Name: "&amp;#REF!&amp;":"&amp;#REF!&amp;":"&amp;#REF!</f>
        <v>#REF!</v>
      </c>
      <c r="P178" s="955"/>
      <c r="Q178" s="955"/>
      <c r="R178" s="955"/>
      <c r="S178" s="955"/>
      <c r="T178" s="955"/>
      <c r="U178" s="955"/>
      <c r="V178" s="955"/>
      <c r="W178" s="955"/>
      <c r="X178" s="955"/>
      <c r="Y178" s="955"/>
      <c r="Z178" s="955"/>
      <c r="AA178" s="955"/>
    </row>
    <row r="179" spans="15:27" ht="18.75" customHeight="1" thickBot="1">
      <c r="O179" s="956"/>
      <c r="P179" s="956"/>
      <c r="Q179" s="956"/>
      <c r="R179" s="956"/>
      <c r="S179" s="956"/>
      <c r="T179" s="956"/>
      <c r="U179" s="956"/>
      <c r="V179" s="956"/>
      <c r="W179" s="956"/>
      <c r="X179" s="956"/>
      <c r="Y179" s="956"/>
      <c r="Z179" s="956"/>
      <c r="AA179" s="956"/>
    </row>
    <row r="180" spans="15:27" ht="10.8" customHeight="1">
      <c r="O180" s="957"/>
      <c r="P180" s="958" t="e">
        <f>IF(#REF!="","",#REF!)</f>
        <v>#REF!</v>
      </c>
      <c r="Q180" s="959" t="e">
        <f>IF(#REF!="","",#REF!)</f>
        <v>#REF!</v>
      </c>
      <c r="R180" s="959" t="e">
        <f>IF(#REF!="","",#REF!)</f>
        <v>#REF!</v>
      </c>
      <c r="S180" s="959" t="e">
        <f>IF(#REF!="","",#REF!)</f>
        <v>#REF!</v>
      </c>
      <c r="T180" s="959" t="e">
        <f>IF(#REF!="","",#REF!)</f>
        <v>#REF!</v>
      </c>
      <c r="U180" s="959" t="e">
        <f>IF(#REF!="","",#REF!)</f>
        <v>#REF!</v>
      </c>
      <c r="V180" s="959" t="e">
        <f>IF(#REF!="","",#REF!)</f>
        <v>#REF!</v>
      </c>
      <c r="W180" s="959" t="e">
        <f>IF(#REF!="","",#REF!)</f>
        <v>#REF!</v>
      </c>
      <c r="X180" s="959" t="e">
        <f>IF(#REF!="","",#REF!)</f>
        <v>#REF!</v>
      </c>
      <c r="Y180" s="960" t="e">
        <f>IF(#REF!="","",#REF!)</f>
        <v>#REF!</v>
      </c>
      <c r="Z180" s="959" t="s">
        <v>150</v>
      </c>
      <c r="AA180" s="958"/>
    </row>
    <row r="181" spans="15:27" ht="10.8" customHeight="1">
      <c r="O181" s="961"/>
      <c r="P181" s="962" t="str">
        <f>IFERROR(HLOOKUP(P180,#REF!,2,FALSE),"")</f>
        <v/>
      </c>
      <c r="Q181" s="963" t="str">
        <f>IFERROR(HLOOKUP(Q180,#REF!,2,FALSE),"")</f>
        <v/>
      </c>
      <c r="R181" s="963" t="str">
        <f>IFERROR(HLOOKUP(R180,#REF!,2,FALSE),"")</f>
        <v/>
      </c>
      <c r="S181" s="963" t="str">
        <f>IFERROR(HLOOKUP(S180,#REF!,2,FALSE),"")</f>
        <v/>
      </c>
      <c r="T181" s="963" t="str">
        <f>IFERROR(HLOOKUP(T180,#REF!,2,FALSE),"")</f>
        <v/>
      </c>
      <c r="U181" s="963" t="str">
        <f>IFERROR(HLOOKUP(U180,#REF!,2,FALSE),"")</f>
        <v/>
      </c>
      <c r="V181" s="963" t="str">
        <f>IFERROR(HLOOKUP(V180,#REF!,2,FALSE),"")</f>
        <v/>
      </c>
      <c r="W181" s="963" t="str">
        <f>IFERROR(HLOOKUP(W180,#REF!,2,FALSE),"")</f>
        <v/>
      </c>
      <c r="X181" s="963" t="str">
        <f>IFERROR(HLOOKUP(X180,#REF!,2,FALSE),"")</f>
        <v/>
      </c>
      <c r="Y181" s="964" t="str">
        <f>IFERROR(HLOOKUP(Y180,#REF!,2,FALSE),"")</f>
        <v/>
      </c>
      <c r="Z181" s="965"/>
      <c r="AA181" s="966"/>
    </row>
    <row r="182" spans="15:27" ht="10.8" customHeight="1">
      <c r="O182" s="1164" t="s">
        <v>177</v>
      </c>
      <c r="P182" s="967" t="e">
        <f>IF(#REF!="","",#REF!)</f>
        <v>#REF!</v>
      </c>
      <c r="Q182" s="968" t="e">
        <f>IF(#REF!="","",#REF!)</f>
        <v>#REF!</v>
      </c>
      <c r="R182" s="968" t="e">
        <f>IF(#REF!="","",#REF!)</f>
        <v>#REF!</v>
      </c>
      <c r="S182" s="968" t="e">
        <f>IF(#REF!="","",#REF!)</f>
        <v>#REF!</v>
      </c>
      <c r="T182" s="968" t="e">
        <f>IF(#REF!="","",#REF!)</f>
        <v>#REF!</v>
      </c>
      <c r="U182" s="968" t="e">
        <f>IF(#REF!="","",#REF!)</f>
        <v>#REF!</v>
      </c>
      <c r="V182" s="968" t="e">
        <f>IF(#REF!="","",#REF!)</f>
        <v>#REF!</v>
      </c>
      <c r="W182" s="968" t="e">
        <f>IF(#REF!="","",#REF!)</f>
        <v>#REF!</v>
      </c>
      <c r="X182" s="968" t="e">
        <f>IF(#REF!="","",#REF!)</f>
        <v>#REF!</v>
      </c>
      <c r="Y182" s="969" t="e">
        <f>IF(#REF!="","",#REF!)</f>
        <v>#REF!</v>
      </c>
      <c r="Z182" s="970" t="e">
        <f>IF(SUM(P182:Y182)=0,"",SUM(P182:Y182))</f>
        <v>#REF!</v>
      </c>
      <c r="AA182" s="970"/>
    </row>
    <row r="183" spans="15:27" ht="10.8" customHeight="1">
      <c r="O183" s="1165"/>
      <c r="P183" s="971"/>
      <c r="Q183" s="972"/>
      <c r="R183" s="972"/>
      <c r="S183" s="972"/>
      <c r="T183" s="972"/>
      <c r="U183" s="972"/>
      <c r="V183" s="972"/>
      <c r="W183" s="972"/>
      <c r="X183" s="972"/>
      <c r="Y183" s="973"/>
      <c r="Z183" s="974" t="s">
        <v>153</v>
      </c>
      <c r="AA183" s="974"/>
    </row>
    <row r="184" spans="15:27" ht="10.8" customHeight="1">
      <c r="O184" s="975"/>
      <c r="P184" s="974" t="s">
        <v>154</v>
      </c>
      <c r="Q184" s="976" t="s">
        <v>200</v>
      </c>
      <c r="R184" s="976" t="s">
        <v>201</v>
      </c>
      <c r="S184" s="976" t="s">
        <v>83</v>
      </c>
      <c r="T184" s="976" t="s">
        <v>11</v>
      </c>
      <c r="U184" s="976" t="s">
        <v>12</v>
      </c>
      <c r="V184" s="976" t="s">
        <v>14</v>
      </c>
      <c r="W184" s="976" t="s">
        <v>38</v>
      </c>
      <c r="X184" s="976" t="s">
        <v>145</v>
      </c>
      <c r="Y184" s="977" t="s">
        <v>13</v>
      </c>
      <c r="Z184" s="1158" t="e">
        <f>#REF!</f>
        <v>#REF!</v>
      </c>
      <c r="AA184" s="1154"/>
    </row>
    <row r="185" spans="15:27" ht="10.8" customHeight="1">
      <c r="O185" s="978"/>
      <c r="P185" s="979" t="e">
        <f>IF(#REF!="","",#REF!)</f>
        <v>#REF!</v>
      </c>
      <c r="Q185" s="980" t="e">
        <f>IF(#REF!="","",#REF!)</f>
        <v>#REF!</v>
      </c>
      <c r="R185" s="980" t="e">
        <f>IF(#REF!="","",#REF!)</f>
        <v>#REF!</v>
      </c>
      <c r="S185" s="981" t="e">
        <f>IF(#REF!="","",#REF!)</f>
        <v>#REF!</v>
      </c>
      <c r="T185" s="981" t="e">
        <f>IF(#REF!="","",#REF!)</f>
        <v>#REF!</v>
      </c>
      <c r="U185" s="981" t="e">
        <f>IF(#REF!="","",#REF!)</f>
        <v>#REF!</v>
      </c>
      <c r="V185" s="980" t="e">
        <f>IF(#REF!="","",#REF!)</f>
        <v>#REF!</v>
      </c>
      <c r="W185" s="980" t="e">
        <f>IF(#REF!="","",#REF!)</f>
        <v>#REF!</v>
      </c>
      <c r="X185" s="980" t="e">
        <f>IF(#REF!="","",#REF!)</f>
        <v>#REF!</v>
      </c>
      <c r="Y185" s="982" t="e">
        <f>IF(#REF!="","",#REF!)</f>
        <v>#REF!</v>
      </c>
      <c r="Z185" s="1160"/>
      <c r="AA185" s="1155"/>
    </row>
    <row r="186" spans="15:27" ht="10.8" customHeight="1">
      <c r="O186" s="975"/>
      <c r="P186" s="965"/>
      <c r="Q186" s="965"/>
      <c r="R186" s="965"/>
      <c r="S186" s="965"/>
      <c r="T186" s="965"/>
      <c r="U186" s="965"/>
      <c r="V186" s="965"/>
      <c r="W186" s="965"/>
      <c r="X186" s="965"/>
      <c r="Y186" s="965"/>
      <c r="Z186" s="965"/>
      <c r="AA186" s="965"/>
    </row>
    <row r="187" spans="15:27" ht="10.8" customHeight="1">
      <c r="O187" s="983"/>
      <c r="P187" s="974" t="e">
        <f>IF(#REF!="","",#REF!)</f>
        <v>#REF!</v>
      </c>
      <c r="Q187" s="976" t="e">
        <f>IF(#REF!="","",#REF!)</f>
        <v>#REF!</v>
      </c>
      <c r="R187" s="976" t="e">
        <f>IF(#REF!="","",#REF!)</f>
        <v>#REF!</v>
      </c>
      <c r="S187" s="976" t="e">
        <f>IF(#REF!="","",#REF!)</f>
        <v>#REF!</v>
      </c>
      <c r="T187" s="976" t="e">
        <f>IF(#REF!="","",#REF!)</f>
        <v>#REF!</v>
      </c>
      <c r="U187" s="976" t="e">
        <f>IF(#REF!="","",#REF!)</f>
        <v>#REF!</v>
      </c>
      <c r="V187" s="976" t="e">
        <f>IF(#REF!="","",#REF!)</f>
        <v>#REF!</v>
      </c>
      <c r="W187" s="976" t="e">
        <f>IF(#REF!="","",#REF!)</f>
        <v>#REF!</v>
      </c>
      <c r="X187" s="976" t="e">
        <f>IF(#REF!="","",#REF!)</f>
        <v>#REF!</v>
      </c>
      <c r="Y187" s="977" t="e">
        <f>IF(#REF!="","",#REF!)</f>
        <v>#REF!</v>
      </c>
      <c r="Z187" s="974" t="s">
        <v>150</v>
      </c>
      <c r="AA187" s="971"/>
    </row>
    <row r="188" spans="15:27" ht="10.8" customHeight="1">
      <c r="O188" s="975"/>
      <c r="P188" s="984" t="str">
        <f>IFERROR(HLOOKUP(P187,#REF!,2,FALSE),"")</f>
        <v/>
      </c>
      <c r="Q188" s="985" t="str">
        <f>IFERROR(HLOOKUP(Q187,#REF!,2,FALSE),"")</f>
        <v/>
      </c>
      <c r="R188" s="985" t="str">
        <f>IFERROR(HLOOKUP(R187,#REF!,2,FALSE),"")</f>
        <v/>
      </c>
      <c r="S188" s="985" t="str">
        <f>IFERROR(HLOOKUP(S187,#REF!,2,FALSE),"")</f>
        <v/>
      </c>
      <c r="T188" s="985" t="str">
        <f>IFERROR(HLOOKUP(T187,#REF!,2,FALSE),"")</f>
        <v/>
      </c>
      <c r="U188" s="985" t="str">
        <f>IFERROR(HLOOKUP(U187,#REF!,2,FALSE),"")</f>
        <v/>
      </c>
      <c r="V188" s="985" t="str">
        <f>IFERROR(HLOOKUP(V187,#REF!,2,FALSE),"")</f>
        <v/>
      </c>
      <c r="W188" s="985" t="str">
        <f>IFERROR(HLOOKUP(W187,#REF!,2,FALSE),"")</f>
        <v/>
      </c>
      <c r="X188" s="985" t="str">
        <f>IFERROR(HLOOKUP(X187,#REF!,2,FALSE),"")</f>
        <v/>
      </c>
      <c r="Y188" s="986" t="str">
        <f>IFERROR(HLOOKUP(Y187,#REF!,2,FALSE),"")</f>
        <v/>
      </c>
      <c r="Z188" s="966"/>
      <c r="AA188" s="966"/>
    </row>
    <row r="189" spans="15:27" ht="10.8" customHeight="1">
      <c r="O189" s="1164" t="s">
        <v>152</v>
      </c>
      <c r="P189" s="987" t="e">
        <f>IF(#REF!="","",#REF!)</f>
        <v>#REF!</v>
      </c>
      <c r="Q189" s="987" t="e">
        <f>IF(#REF!="","",#REF!)</f>
        <v>#REF!</v>
      </c>
      <c r="R189" s="987" t="e">
        <f>IF(#REF!="","",#REF!)</f>
        <v>#REF!</v>
      </c>
      <c r="S189" s="987" t="e">
        <f>IF(#REF!="","",#REF!)</f>
        <v>#REF!</v>
      </c>
      <c r="T189" s="987" t="e">
        <f>IF(#REF!="","",#REF!)</f>
        <v>#REF!</v>
      </c>
      <c r="U189" s="987" t="e">
        <f>IF(#REF!="","",#REF!)</f>
        <v>#REF!</v>
      </c>
      <c r="V189" s="987" t="e">
        <f>IF(#REF!="","",#REF!)</f>
        <v>#REF!</v>
      </c>
      <c r="W189" s="987" t="e">
        <f>IF(#REF!="","",#REF!)</f>
        <v>#REF!</v>
      </c>
      <c r="X189" s="987" t="e">
        <f>IF(#REF!="","",#REF!)</f>
        <v>#REF!</v>
      </c>
      <c r="Y189" s="988" t="e">
        <f>IF(#REF!="","",#REF!)</f>
        <v>#REF!</v>
      </c>
      <c r="Z189" s="970" t="e">
        <f>IF(SUM(P189:Y189)=0,"",SUM(P189:Y189))</f>
        <v>#REF!</v>
      </c>
      <c r="AA189" s="970"/>
    </row>
    <row r="190" spans="15:27" ht="10.8" customHeight="1">
      <c r="O190" s="1165"/>
      <c r="P190" s="972"/>
      <c r="Q190" s="972"/>
      <c r="R190" s="972"/>
      <c r="S190" s="972"/>
      <c r="T190" s="972"/>
      <c r="U190" s="972"/>
      <c r="V190" s="972"/>
      <c r="W190" s="972"/>
      <c r="X190" s="972"/>
      <c r="Y190" s="973"/>
      <c r="Z190" s="974" t="s">
        <v>153</v>
      </c>
      <c r="AA190" s="974" t="s">
        <v>151</v>
      </c>
    </row>
    <row r="191" spans="15:27" ht="10.8" customHeight="1">
      <c r="O191" s="975"/>
      <c r="P191" s="989" t="s">
        <v>154</v>
      </c>
      <c r="Q191" s="990" t="s">
        <v>200</v>
      </c>
      <c r="R191" s="990" t="s">
        <v>201</v>
      </c>
      <c r="S191" s="990" t="s">
        <v>83</v>
      </c>
      <c r="T191" s="990" t="s">
        <v>11</v>
      </c>
      <c r="U191" s="990" t="s">
        <v>12</v>
      </c>
      <c r="V191" s="990" t="s">
        <v>14</v>
      </c>
      <c r="W191" s="990" t="s">
        <v>38</v>
      </c>
      <c r="X191" s="990" t="s">
        <v>145</v>
      </c>
      <c r="Y191" s="991" t="s">
        <v>13</v>
      </c>
      <c r="Z191" s="1158" t="e">
        <f>#REF!</f>
        <v>#REF!</v>
      </c>
      <c r="AA191" s="1156" t="str">
        <f>IFERROR(HLOOKUP("POLY4",#REF!,2,FALSE)-(#REF!-#REF!)/HLOOKUP("POLY4",P187:Y189,3,FALSE),"")</f>
        <v/>
      </c>
    </row>
    <row r="192" spans="15:27" ht="10.8" customHeight="1" thickBot="1">
      <c r="O192" s="992"/>
      <c r="P192" s="993" t="e">
        <f>IF(#REF!="","",#REF!)</f>
        <v>#REF!</v>
      </c>
      <c r="Q192" s="994" t="e">
        <f>IF(#REF!="","",#REF!)</f>
        <v>#REF!</v>
      </c>
      <c r="R192" s="994" t="e">
        <f>IF(#REF!="","",#REF!)</f>
        <v>#REF!</v>
      </c>
      <c r="S192" s="995" t="e">
        <f>IF(#REF!="","",#REF!)</f>
        <v>#REF!</v>
      </c>
      <c r="T192" s="995" t="e">
        <f>IF(#REF!="","",#REF!)</f>
        <v>#REF!</v>
      </c>
      <c r="U192" s="995" t="e">
        <f>IF(#REF!="","",#REF!)</f>
        <v>#REF!</v>
      </c>
      <c r="V192" s="994" t="e">
        <f>IF(#REF!="","",#REF!)</f>
        <v>#REF!</v>
      </c>
      <c r="W192" s="994" t="e">
        <f>IF(#REF!="","",#REF!)</f>
        <v>#REF!</v>
      </c>
      <c r="X192" s="994" t="e">
        <f>IF(#REF!="","",#REF!)</f>
        <v>#REF!</v>
      </c>
      <c r="Y192" s="996" t="e">
        <f>IF(#REF!="","",#REF!)</f>
        <v>#REF!</v>
      </c>
      <c r="Z192" s="1161"/>
      <c r="AA192" s="1157"/>
    </row>
    <row r="193" spans="15:27" ht="10.8" customHeight="1" thickBot="1">
      <c r="O193" s="975"/>
      <c r="P193" s="965"/>
      <c r="Q193" s="965"/>
      <c r="R193" s="965"/>
      <c r="S193" s="965"/>
      <c r="T193" s="965"/>
      <c r="U193" s="965"/>
      <c r="V193" s="965"/>
      <c r="W193" s="965"/>
      <c r="X193" s="965"/>
      <c r="Y193" s="965"/>
      <c r="Z193" s="965"/>
      <c r="AA193" s="965"/>
    </row>
    <row r="194" spans="15:27" ht="10.8" customHeight="1">
      <c r="O194" s="997"/>
      <c r="P194" s="958" t="e">
        <f>IF(#REF!="","",#REF!)</f>
        <v>#REF!</v>
      </c>
      <c r="Q194" s="959" t="e">
        <f>IF(#REF!="","",#REF!)</f>
        <v>#REF!</v>
      </c>
      <c r="R194" s="959" t="e">
        <f>IF(#REF!="","",#REF!)</f>
        <v>#REF!</v>
      </c>
      <c r="S194" s="959" t="e">
        <f>IF(#REF!="","",#REF!)</f>
        <v>#REF!</v>
      </c>
      <c r="T194" s="959" t="e">
        <f>IF(#REF!="","",#REF!)</f>
        <v>#REF!</v>
      </c>
      <c r="U194" s="959" t="e">
        <f>IF(#REF!="","",#REF!)</f>
        <v>#REF!</v>
      </c>
      <c r="V194" s="959" t="e">
        <f>IF(#REF!="","",#REF!)</f>
        <v>#REF!</v>
      </c>
      <c r="W194" s="959" t="e">
        <f>IF(#REF!="","",#REF!)</f>
        <v>#REF!</v>
      </c>
      <c r="X194" s="959" t="e">
        <f>IF(#REF!="","",#REF!)</f>
        <v>#REF!</v>
      </c>
      <c r="Y194" s="960" t="e">
        <f>IF(#REF!="","",#REF!)</f>
        <v>#REF!</v>
      </c>
      <c r="Z194" s="958" t="s">
        <v>150</v>
      </c>
      <c r="AA194" s="958"/>
    </row>
    <row r="195" spans="15:27" ht="10.8" customHeight="1">
      <c r="O195" s="998"/>
      <c r="P195" s="962" t="str">
        <f>IFERROR(HLOOKUP(P194,#REF!,2,FALSE),"")</f>
        <v/>
      </c>
      <c r="Q195" s="963" t="str">
        <f>IFERROR(HLOOKUP(Q194,#REF!,2,FALSE),"")</f>
        <v/>
      </c>
      <c r="R195" s="963" t="str">
        <f>IFERROR(HLOOKUP(R194,#REF!,2,FALSE),"")</f>
        <v/>
      </c>
      <c r="S195" s="963" t="str">
        <f>IFERROR(HLOOKUP(S194,#REF!,2,FALSE),"")</f>
        <v/>
      </c>
      <c r="T195" s="963" t="str">
        <f>IFERROR(HLOOKUP(T194,#REF!,2,FALSE),"")</f>
        <v/>
      </c>
      <c r="U195" s="963" t="str">
        <f>IFERROR(HLOOKUP(U194,#REF!,2,FALSE),"")</f>
        <v/>
      </c>
      <c r="V195" s="963" t="str">
        <f>IFERROR(HLOOKUP(V194,#REF!,2,FALSE),"")</f>
        <v/>
      </c>
      <c r="W195" s="963" t="str">
        <f>IFERROR(HLOOKUP(W194,#REF!,2,FALSE),"")</f>
        <v/>
      </c>
      <c r="X195" s="963" t="str">
        <f>IFERROR(HLOOKUP(X194,#REF!,2,FALSE),"")</f>
        <v/>
      </c>
      <c r="Y195" s="964" t="str">
        <f>IFERROR(HLOOKUP(Y194,#REF!,2,FALSE),"")</f>
        <v/>
      </c>
      <c r="Z195" s="966"/>
      <c r="AA195" s="966"/>
    </row>
    <row r="196" spans="15:27" ht="10.8" customHeight="1">
      <c r="O196" s="1164" t="s">
        <v>179</v>
      </c>
      <c r="P196" s="967" t="e">
        <f>IF(#REF!="","",#REF!)</f>
        <v>#REF!</v>
      </c>
      <c r="Q196" s="968" t="e">
        <f>IF(#REF!="","",#REF!)</f>
        <v>#REF!</v>
      </c>
      <c r="R196" s="968" t="e">
        <f>IF(#REF!="","",#REF!)</f>
        <v>#REF!</v>
      </c>
      <c r="S196" s="968" t="e">
        <f>IF(#REF!="","",#REF!)</f>
        <v>#REF!</v>
      </c>
      <c r="T196" s="968" t="e">
        <f>IF(#REF!="","",#REF!)</f>
        <v>#REF!</v>
      </c>
      <c r="U196" s="968" t="e">
        <f>IF(#REF!="","",#REF!)</f>
        <v>#REF!</v>
      </c>
      <c r="V196" s="968" t="e">
        <f>IF(#REF!="","",#REF!)</f>
        <v>#REF!</v>
      </c>
      <c r="W196" s="968" t="e">
        <f>IF(#REF!="","",#REF!)</f>
        <v>#REF!</v>
      </c>
      <c r="X196" s="968" t="e">
        <f>IF(#REF!="","",#REF!)</f>
        <v>#REF!</v>
      </c>
      <c r="Y196" s="969" t="e">
        <f>IF(#REF!="","",#REF!)</f>
        <v>#REF!</v>
      </c>
      <c r="Z196" s="970" t="e">
        <f>IF(SUM(P196:Y196)=0,"",SUM(P196:Y196))</f>
        <v>#REF!</v>
      </c>
      <c r="AA196" s="970"/>
    </row>
    <row r="197" spans="15:27" ht="10.8" customHeight="1">
      <c r="O197" s="1165"/>
      <c r="P197" s="971"/>
      <c r="Q197" s="972"/>
      <c r="R197" s="972"/>
      <c r="S197" s="972"/>
      <c r="T197" s="972"/>
      <c r="U197" s="972"/>
      <c r="V197" s="972"/>
      <c r="W197" s="972"/>
      <c r="X197" s="972"/>
      <c r="Y197" s="973"/>
      <c r="Z197" s="974" t="s">
        <v>153</v>
      </c>
      <c r="AA197" s="974"/>
    </row>
    <row r="198" spans="15:27" ht="10.8" customHeight="1">
      <c r="O198" s="998"/>
      <c r="P198" s="974" t="s">
        <v>154</v>
      </c>
      <c r="Q198" s="976" t="s">
        <v>200</v>
      </c>
      <c r="R198" s="976" t="s">
        <v>201</v>
      </c>
      <c r="S198" s="976" t="s">
        <v>83</v>
      </c>
      <c r="T198" s="976" t="s">
        <v>11</v>
      </c>
      <c r="U198" s="976" t="s">
        <v>12</v>
      </c>
      <c r="V198" s="976" t="s">
        <v>14</v>
      </c>
      <c r="W198" s="976" t="s">
        <v>38</v>
      </c>
      <c r="X198" s="976" t="s">
        <v>145</v>
      </c>
      <c r="Y198" s="977" t="s">
        <v>13</v>
      </c>
      <c r="Z198" s="1158" t="e">
        <f>#REF!</f>
        <v>#REF!</v>
      </c>
      <c r="AA198" s="999"/>
    </row>
    <row r="199" spans="15:27" ht="10.8" customHeight="1">
      <c r="O199" s="1000"/>
      <c r="P199" s="979" t="e">
        <f>IF(#REF!="","",#REF!)</f>
        <v>#REF!</v>
      </c>
      <c r="Q199" s="980" t="e">
        <f>IF(#REF!="","",#REF!)</f>
        <v>#REF!</v>
      </c>
      <c r="R199" s="980" t="e">
        <f>IF(#REF!="","",#REF!)</f>
        <v>#REF!</v>
      </c>
      <c r="S199" s="981" t="e">
        <f>IF(#REF!="","",#REF!)</f>
        <v>#REF!</v>
      </c>
      <c r="T199" s="981" t="e">
        <f>IF(#REF!="","",#REF!)</f>
        <v>#REF!</v>
      </c>
      <c r="U199" s="981" t="e">
        <f>IF(#REF!="","",#REF!)</f>
        <v>#REF!</v>
      </c>
      <c r="V199" s="980" t="e">
        <f>IF(#REF!="","",#REF!)</f>
        <v>#REF!</v>
      </c>
      <c r="W199" s="980" t="e">
        <f>IF(#REF!="","",#REF!)</f>
        <v>#REF!</v>
      </c>
      <c r="X199" s="980" t="e">
        <f>IF(#REF!="","",#REF!)</f>
        <v>#REF!</v>
      </c>
      <c r="Y199" s="982" t="e">
        <f>IF(#REF!="","",#REF!)</f>
        <v>#REF!</v>
      </c>
      <c r="Z199" s="1160"/>
      <c r="AA199" s="1001"/>
    </row>
    <row r="200" spans="15:27" ht="10.8" customHeight="1">
      <c r="O200" s="975"/>
      <c r="P200" s="965"/>
      <c r="Q200" s="965"/>
      <c r="R200" s="965"/>
      <c r="S200" s="965"/>
      <c r="T200" s="965"/>
      <c r="U200" s="965"/>
      <c r="V200" s="965"/>
      <c r="W200" s="965"/>
      <c r="X200" s="965"/>
      <c r="Y200" s="965"/>
      <c r="Z200" s="965"/>
      <c r="AA200" s="965"/>
    </row>
    <row r="201" spans="15:27" ht="10.8" customHeight="1">
      <c r="O201" s="1002"/>
      <c r="P201" s="974" t="e">
        <f>IF(#REF!="","",#REF!)</f>
        <v>#REF!</v>
      </c>
      <c r="Q201" s="976" t="e">
        <f>IF(#REF!="","",#REF!)</f>
        <v>#REF!</v>
      </c>
      <c r="R201" s="976" t="e">
        <f>IF(#REF!="","",#REF!)</f>
        <v>#REF!</v>
      </c>
      <c r="S201" s="976" t="e">
        <f>IF(#REF!="","",#REF!)</f>
        <v>#REF!</v>
      </c>
      <c r="T201" s="976" t="e">
        <f>IF(#REF!="","",#REF!)</f>
        <v>#REF!</v>
      </c>
      <c r="U201" s="976" t="e">
        <f>IF(#REF!="","",#REF!)</f>
        <v>#REF!</v>
      </c>
      <c r="V201" s="976" t="e">
        <f>IF(#REF!="","",#REF!)</f>
        <v>#REF!</v>
      </c>
      <c r="W201" s="976" t="e">
        <f>IF(#REF!="","",#REF!)</f>
        <v>#REF!</v>
      </c>
      <c r="X201" s="976" t="e">
        <f>IF(#REF!="","",#REF!)</f>
        <v>#REF!</v>
      </c>
      <c r="Y201" s="977" t="e">
        <f>IF(#REF!="","",#REF!)</f>
        <v>#REF!</v>
      </c>
      <c r="Z201" s="974" t="s">
        <v>150</v>
      </c>
      <c r="AA201" s="971"/>
    </row>
    <row r="202" spans="15:27" ht="10.8" customHeight="1">
      <c r="O202" s="998"/>
      <c r="P202" s="974" t="str">
        <f>IFERROR(HLOOKUP(P201,#REF!,2,FALSE),"")</f>
        <v/>
      </c>
      <c r="Q202" s="976" t="str">
        <f>IFERROR(HLOOKUP(Q201,#REF!,2,FALSE),"")</f>
        <v/>
      </c>
      <c r="R202" s="976" t="str">
        <f>IFERROR(HLOOKUP(R201,#REF!,2,FALSE),"")</f>
        <v/>
      </c>
      <c r="S202" s="976" t="str">
        <f>IFERROR(HLOOKUP(S201,#REF!,2,FALSE),"")</f>
        <v/>
      </c>
      <c r="T202" s="976" t="str">
        <f>IFERROR(HLOOKUP(T201,#REF!,2,FALSE),"")</f>
        <v/>
      </c>
      <c r="U202" s="976" t="str">
        <f>IFERROR(HLOOKUP(U201,#REF!,2,FALSE),"")</f>
        <v/>
      </c>
      <c r="V202" s="976" t="str">
        <f>IFERROR(HLOOKUP(V201,#REF!,2,FALSE),"")</f>
        <v/>
      </c>
      <c r="W202" s="976" t="str">
        <f>IFERROR(HLOOKUP(W201,#REF!,2,FALSE),"")</f>
        <v/>
      </c>
      <c r="X202" s="976" t="str">
        <f>IFERROR(HLOOKUP(X201,#REF!,2,FALSE),"")</f>
        <v/>
      </c>
      <c r="Y202" s="977" t="str">
        <f>IFERROR(HLOOKUP(Y201,#REF!,2,FALSE),"")</f>
        <v/>
      </c>
      <c r="Z202" s="966"/>
      <c r="AA202" s="966"/>
    </row>
    <row r="203" spans="15:27" ht="10.8" customHeight="1">
      <c r="O203" s="1164" t="s">
        <v>157</v>
      </c>
      <c r="P203" s="1003" t="e">
        <f>IF(#REF!="","",#REF!)</f>
        <v>#REF!</v>
      </c>
      <c r="Q203" s="1003" t="e">
        <f>IF(#REF!="","",#REF!)</f>
        <v>#REF!</v>
      </c>
      <c r="R203" s="1003" t="e">
        <f>IF(#REF!="","",#REF!)</f>
        <v>#REF!</v>
      </c>
      <c r="S203" s="1003" t="e">
        <f>IF(#REF!="","",#REF!)</f>
        <v>#REF!</v>
      </c>
      <c r="T203" s="1003" t="e">
        <f>IF(#REF!="","",#REF!)</f>
        <v>#REF!</v>
      </c>
      <c r="U203" s="1003" t="e">
        <f>IF(#REF!="","",#REF!)</f>
        <v>#REF!</v>
      </c>
      <c r="V203" s="1003" t="e">
        <f>IF(#REF!="","",#REF!)</f>
        <v>#REF!</v>
      </c>
      <c r="W203" s="1003" t="e">
        <f>IF(#REF!="","",#REF!)</f>
        <v>#REF!</v>
      </c>
      <c r="X203" s="1003" t="e">
        <f>IF(#REF!="","",#REF!)</f>
        <v>#REF!</v>
      </c>
      <c r="Y203" s="1004" t="e">
        <f>IF(#REF!="","",#REF!)</f>
        <v>#REF!</v>
      </c>
      <c r="Z203" s="970" t="e">
        <f>IF(SUM(P203:Y203)=0,"",SUM(P203:Y203))</f>
        <v>#REF!</v>
      </c>
      <c r="AA203" s="970"/>
    </row>
    <row r="204" spans="15:27" ht="10.8" customHeight="1">
      <c r="O204" s="1165"/>
      <c r="P204" s="972"/>
      <c r="Q204" s="972"/>
      <c r="R204" s="972"/>
      <c r="S204" s="972"/>
      <c r="T204" s="972"/>
      <c r="U204" s="972"/>
      <c r="V204" s="972"/>
      <c r="W204" s="972"/>
      <c r="X204" s="972"/>
      <c r="Y204" s="973"/>
      <c r="Z204" s="974" t="s">
        <v>153</v>
      </c>
      <c r="AA204" s="974" t="s">
        <v>151</v>
      </c>
    </row>
    <row r="205" spans="15:27" ht="10.8" customHeight="1">
      <c r="O205" s="998"/>
      <c r="P205" s="974" t="s">
        <v>154</v>
      </c>
      <c r="Q205" s="976" t="s">
        <v>200</v>
      </c>
      <c r="R205" s="976" t="s">
        <v>201</v>
      </c>
      <c r="S205" s="976" t="s">
        <v>83</v>
      </c>
      <c r="T205" s="976" t="s">
        <v>11</v>
      </c>
      <c r="U205" s="976" t="s">
        <v>12</v>
      </c>
      <c r="V205" s="976" t="s">
        <v>14</v>
      </c>
      <c r="W205" s="976" t="s">
        <v>38</v>
      </c>
      <c r="X205" s="976" t="s">
        <v>145</v>
      </c>
      <c r="Y205" s="977" t="s">
        <v>13</v>
      </c>
      <c r="Z205" s="1158" t="e">
        <f>#REF!</f>
        <v>#REF!</v>
      </c>
      <c r="AA205" s="1156" t="str">
        <f>IFERROR(HLOOKUP("POLY4",#REF!,2,FALSE)-(Z205-Z198)/HLOOKUP("POLY4",P201:Y203,3,FALSE),"")</f>
        <v/>
      </c>
    </row>
    <row r="206" spans="15:27" ht="10.8" customHeight="1" thickBot="1">
      <c r="O206" s="1005"/>
      <c r="P206" s="993" t="e">
        <f>IF(#REF!="","",#REF!)</f>
        <v>#REF!</v>
      </c>
      <c r="Q206" s="994" t="e">
        <f>IF(#REF!="","",#REF!)</f>
        <v>#REF!</v>
      </c>
      <c r="R206" s="994" t="e">
        <f>IF(#REF!="","",#REF!)</f>
        <v>#REF!</v>
      </c>
      <c r="S206" s="995" t="e">
        <f>IF(#REF!="","",#REF!)</f>
        <v>#REF!</v>
      </c>
      <c r="T206" s="995" t="e">
        <f>IF(#REF!="","",#REF!)</f>
        <v>#REF!</v>
      </c>
      <c r="U206" s="995" t="e">
        <f>IF(#REF!="","",#REF!)</f>
        <v>#REF!</v>
      </c>
      <c r="V206" s="994" t="e">
        <f>IF(#REF!="","",#REF!)</f>
        <v>#REF!</v>
      </c>
      <c r="W206" s="994" t="e">
        <f>IF(#REF!="","",#REF!)</f>
        <v>#REF!</v>
      </c>
      <c r="X206" s="994" t="e">
        <f>IF(#REF!="","",#REF!)</f>
        <v>#REF!</v>
      </c>
      <c r="Y206" s="996" t="e">
        <f>IF(#REF!="","",#REF!)</f>
        <v>#REF!</v>
      </c>
      <c r="Z206" s="1161"/>
      <c r="AA206" s="1157"/>
    </row>
    <row r="207" spans="15:27" ht="10.8" customHeight="1" thickBot="1">
      <c r="O207" s="975"/>
      <c r="P207" s="965"/>
      <c r="Q207" s="965"/>
      <c r="R207" s="965"/>
      <c r="S207" s="965"/>
      <c r="T207" s="965"/>
      <c r="U207" s="965"/>
      <c r="V207" s="965"/>
      <c r="W207" s="965"/>
      <c r="X207" s="965"/>
      <c r="Y207" s="965"/>
      <c r="Z207" s="965"/>
      <c r="AA207" s="965"/>
    </row>
    <row r="208" spans="15:27" ht="10.8" customHeight="1">
      <c r="O208" s="997"/>
      <c r="P208" s="958" t="e">
        <f>IF(#REF!="","",#REF!)</f>
        <v>#REF!</v>
      </c>
      <c r="Q208" s="959" t="e">
        <f>IF(#REF!="","",#REF!)</f>
        <v>#REF!</v>
      </c>
      <c r="R208" s="959" t="e">
        <f>IF(#REF!="","",#REF!)</f>
        <v>#REF!</v>
      </c>
      <c r="S208" s="959" t="e">
        <f>IF(#REF!="","",#REF!)</f>
        <v>#REF!</v>
      </c>
      <c r="T208" s="959" t="e">
        <f>IF(#REF!="","",#REF!)</f>
        <v>#REF!</v>
      </c>
      <c r="U208" s="959" t="e">
        <f>IF(#REF!="","",#REF!)</f>
        <v>#REF!</v>
      </c>
      <c r="V208" s="959" t="e">
        <f>IF(#REF!="","",#REF!)</f>
        <v>#REF!</v>
      </c>
      <c r="W208" s="959" t="e">
        <f>IF(#REF!="","",#REF!)</f>
        <v>#REF!</v>
      </c>
      <c r="X208" s="959" t="e">
        <f>IF(#REF!="","",#REF!)</f>
        <v>#REF!</v>
      </c>
      <c r="Y208" s="960" t="e">
        <f>IF(#REF!="","",#REF!)</f>
        <v>#REF!</v>
      </c>
      <c r="Z208" s="958" t="s">
        <v>150</v>
      </c>
      <c r="AA208" s="958"/>
    </row>
    <row r="209" spans="15:27" ht="10.8" customHeight="1">
      <c r="O209" s="998"/>
      <c r="P209" s="984" t="str">
        <f>IFERROR(HLOOKUP(P208,#REF!,2,FALSE),"")</f>
        <v/>
      </c>
      <c r="Q209" s="985" t="str">
        <f>IFERROR(HLOOKUP(Q208,#REF!,2,FALSE),"")</f>
        <v/>
      </c>
      <c r="R209" s="985" t="str">
        <f>IFERROR(HLOOKUP(R208,#REF!,2,FALSE),"")</f>
        <v/>
      </c>
      <c r="S209" s="985" t="str">
        <f>IFERROR(HLOOKUP(S208,#REF!,2,FALSE),"")</f>
        <v/>
      </c>
      <c r="T209" s="985" t="str">
        <f>IFERROR(HLOOKUP(T208,#REF!,2,FALSE),"")</f>
        <v/>
      </c>
      <c r="U209" s="985" t="str">
        <f>IFERROR(HLOOKUP(U208,#REF!,2,FALSE),"")</f>
        <v/>
      </c>
      <c r="V209" s="985" t="str">
        <f>IFERROR(HLOOKUP(V208,#REF!,2,FALSE),"")</f>
        <v/>
      </c>
      <c r="W209" s="985" t="str">
        <f>IFERROR(HLOOKUP(W208,#REF!,2,FALSE),"")</f>
        <v/>
      </c>
      <c r="X209" s="985" t="str">
        <f>IFERROR(HLOOKUP(X208,#REF!,2,FALSE),"")</f>
        <v/>
      </c>
      <c r="Y209" s="986" t="str">
        <f>IFERROR(HLOOKUP(Y208,#REF!,2,FALSE),"")</f>
        <v/>
      </c>
      <c r="Z209" s="966"/>
      <c r="AA209" s="965"/>
    </row>
    <row r="210" spans="15:27" ht="10.8" customHeight="1">
      <c r="O210" s="1164" t="s">
        <v>178</v>
      </c>
      <c r="P210" s="1006" t="e">
        <f>IF(#REF!="","",#REF!)</f>
        <v>#REF!</v>
      </c>
      <c r="Q210" s="1003" t="e">
        <f>IF(#REF!="","",#REF!)</f>
        <v>#REF!</v>
      </c>
      <c r="R210" s="1003" t="e">
        <f>IF(#REF!="","",#REF!)</f>
        <v>#REF!</v>
      </c>
      <c r="S210" s="1003" t="e">
        <f>IF(#REF!="","",#REF!)</f>
        <v>#REF!</v>
      </c>
      <c r="T210" s="1003" t="e">
        <f>IF(#REF!="","",#REF!)</f>
        <v>#REF!</v>
      </c>
      <c r="U210" s="1003" t="e">
        <f>IF(#REF!="","",#REF!)</f>
        <v>#REF!</v>
      </c>
      <c r="V210" s="1003" t="e">
        <f>IF(#REF!="","",#REF!)</f>
        <v>#REF!</v>
      </c>
      <c r="W210" s="1003" t="e">
        <f>IF(#REF!="","",#REF!)</f>
        <v>#REF!</v>
      </c>
      <c r="X210" s="1003" t="e">
        <f>IF(#REF!="","",#REF!)</f>
        <v>#REF!</v>
      </c>
      <c r="Y210" s="1004" t="e">
        <f>IF(#REF!="","",#REF!)</f>
        <v>#REF!</v>
      </c>
      <c r="Z210" s="970" t="e">
        <f>IF(SUM(P210:Y210)=0,"",SUM(P210:Y210))</f>
        <v>#REF!</v>
      </c>
      <c r="AA210" s="970"/>
    </row>
    <row r="211" spans="15:27" ht="10.8" customHeight="1">
      <c r="O211" s="1165"/>
      <c r="P211" s="974"/>
      <c r="Q211" s="976"/>
      <c r="R211" s="976"/>
      <c r="S211" s="976"/>
      <c r="T211" s="976"/>
      <c r="U211" s="976"/>
      <c r="V211" s="976"/>
      <c r="W211" s="976"/>
      <c r="X211" s="976"/>
      <c r="Y211" s="977"/>
      <c r="Z211" s="974" t="s">
        <v>153</v>
      </c>
      <c r="AA211" s="974"/>
    </row>
    <row r="212" spans="15:27" ht="10.8" customHeight="1">
      <c r="O212" s="998"/>
      <c r="P212" s="974" t="s">
        <v>154</v>
      </c>
      <c r="Q212" s="976" t="s">
        <v>200</v>
      </c>
      <c r="R212" s="976" t="s">
        <v>201</v>
      </c>
      <c r="S212" s="976" t="s">
        <v>83</v>
      </c>
      <c r="T212" s="976" t="s">
        <v>11</v>
      </c>
      <c r="U212" s="976" t="s">
        <v>12</v>
      </c>
      <c r="V212" s="976" t="s">
        <v>14</v>
      </c>
      <c r="W212" s="976" t="s">
        <v>38</v>
      </c>
      <c r="X212" s="976" t="s">
        <v>145</v>
      </c>
      <c r="Y212" s="977" t="s">
        <v>13</v>
      </c>
      <c r="Z212" s="1158" t="e">
        <f>#REF!</f>
        <v>#REF!</v>
      </c>
      <c r="AA212" s="999" t="e">
        <f>IF(#REF!="","",#REF!)</f>
        <v>#REF!</v>
      </c>
    </row>
    <row r="213" spans="15:27" ht="10.8" customHeight="1">
      <c r="O213" s="1000"/>
      <c r="P213" s="984" t="e">
        <f>IF(#REF!="","",#REF!)</f>
        <v>#REF!</v>
      </c>
      <c r="Q213" s="985" t="e">
        <f>IF(#REF!="","",#REF!)</f>
        <v>#REF!</v>
      </c>
      <c r="R213" s="985" t="e">
        <f>IF(#REF!="","",#REF!)</f>
        <v>#REF!</v>
      </c>
      <c r="S213" s="1007" t="e">
        <f>IF(#REF!="","",#REF!)</f>
        <v>#REF!</v>
      </c>
      <c r="T213" s="1007" t="e">
        <f>IF(#REF!="","",#REF!)</f>
        <v>#REF!</v>
      </c>
      <c r="U213" s="1007" t="e">
        <f>IF(#REF!="","",#REF!)</f>
        <v>#REF!</v>
      </c>
      <c r="V213" s="985" t="e">
        <f>IF(#REF!="","",#REF!)</f>
        <v>#REF!</v>
      </c>
      <c r="W213" s="985" t="e">
        <f>IF(#REF!="","",#REF!)</f>
        <v>#REF!</v>
      </c>
      <c r="X213" s="985" t="e">
        <f>IF(#REF!="","",#REF!)</f>
        <v>#REF!</v>
      </c>
      <c r="Y213" s="1008" t="e">
        <f>IF(#REF!="","",#REF!)</f>
        <v>#REF!</v>
      </c>
      <c r="Z213" s="1160"/>
      <c r="AA213" s="1001"/>
    </row>
    <row r="214" spans="15:27" ht="10.8" customHeight="1">
      <c r="O214" s="965"/>
      <c r="P214" s="965"/>
      <c r="Q214" s="965"/>
      <c r="R214" s="965"/>
      <c r="S214" s="965"/>
      <c r="T214" s="965"/>
      <c r="U214" s="965"/>
      <c r="V214" s="965"/>
      <c r="W214" s="965"/>
      <c r="X214" s="965"/>
      <c r="Y214" s="965"/>
      <c r="Z214" s="965"/>
      <c r="AA214" s="965"/>
    </row>
    <row r="215" spans="15:27" ht="10.8" customHeight="1">
      <c r="O215" s="1002"/>
      <c r="P215" s="974" t="e">
        <f>IF(#REF!="","",#REF!)</f>
        <v>#REF!</v>
      </c>
      <c r="Q215" s="976" t="e">
        <f>IF(#REF!="","",#REF!)</f>
        <v>#REF!</v>
      </c>
      <c r="R215" s="976" t="e">
        <f>IF(#REF!="","",#REF!)</f>
        <v>#REF!</v>
      </c>
      <c r="S215" s="976" t="e">
        <f>IF(#REF!="","",#REF!)</f>
        <v>#REF!</v>
      </c>
      <c r="T215" s="976" t="e">
        <f>IF(#REF!="","",#REF!)</f>
        <v>#REF!</v>
      </c>
      <c r="U215" s="976" t="e">
        <f>IF(#REF!="","",#REF!)</f>
        <v>#REF!</v>
      </c>
      <c r="V215" s="976" t="e">
        <f>IF(#REF!="","",#REF!)</f>
        <v>#REF!</v>
      </c>
      <c r="W215" s="976" t="e">
        <f>IF(#REF!="","",#REF!)</f>
        <v>#REF!</v>
      </c>
      <c r="X215" s="976" t="e">
        <f>IF(#REF!="","",#REF!)</f>
        <v>#REF!</v>
      </c>
      <c r="Y215" s="977" t="e">
        <f>IF(#REF!="","",#REF!)</f>
        <v>#REF!</v>
      </c>
      <c r="Z215" s="974" t="s">
        <v>150</v>
      </c>
      <c r="AA215" s="971"/>
    </row>
    <row r="216" spans="15:27" ht="10.8" customHeight="1">
      <c r="O216" s="998"/>
      <c r="P216" s="974" t="str">
        <f>IFERROR(HLOOKUP(P215,#REF!,2,FALSE),"")</f>
        <v/>
      </c>
      <c r="Q216" s="976" t="str">
        <f>IFERROR(HLOOKUP(Q215,#REF!,2,FALSE),"")</f>
        <v/>
      </c>
      <c r="R216" s="976" t="str">
        <f>IFERROR(HLOOKUP(R215,#REF!,2,FALSE),"")</f>
        <v/>
      </c>
      <c r="S216" s="976" t="str">
        <f>IFERROR(HLOOKUP(S215,#REF!,2,FALSE),"")</f>
        <v/>
      </c>
      <c r="T216" s="976" t="str">
        <f>IFERROR(HLOOKUP(T215,#REF!,2,FALSE),"")</f>
        <v/>
      </c>
      <c r="U216" s="976" t="str">
        <f>IFERROR(HLOOKUP(U215,#REF!,2,FALSE),"")</f>
        <v/>
      </c>
      <c r="V216" s="976" t="str">
        <f>IFERROR(HLOOKUP(V215,#REF!,2,FALSE),"")</f>
        <v/>
      </c>
      <c r="W216" s="976" t="str">
        <f>IFERROR(HLOOKUP(W215,#REF!,2,FALSE),"")</f>
        <v/>
      </c>
      <c r="X216" s="976" t="str">
        <f>IFERROR(HLOOKUP(X215,#REF!,2,FALSE),"")</f>
        <v/>
      </c>
      <c r="Y216" s="977" t="str">
        <f>IFERROR(HLOOKUP(Y215,#REF!,2,FALSE),"")</f>
        <v/>
      </c>
      <c r="Z216" s="966"/>
      <c r="AA216" s="966"/>
    </row>
    <row r="217" spans="15:27" ht="10.8" customHeight="1">
      <c r="O217" s="1164" t="s">
        <v>158</v>
      </c>
      <c r="P217" s="1003" t="e">
        <f>IF(#REF!="","",#REF!)</f>
        <v>#REF!</v>
      </c>
      <c r="Q217" s="1003" t="e">
        <f>IF(#REF!="","",#REF!)</f>
        <v>#REF!</v>
      </c>
      <c r="R217" s="1003" t="e">
        <f>IF(#REF!="","",#REF!)</f>
        <v>#REF!</v>
      </c>
      <c r="S217" s="1003" t="e">
        <f>IF(#REF!="","",#REF!)</f>
        <v>#REF!</v>
      </c>
      <c r="T217" s="1003" t="e">
        <f>IF(#REF!="","",#REF!)</f>
        <v>#REF!</v>
      </c>
      <c r="U217" s="1003" t="e">
        <f>IF(#REF!="","",#REF!)</f>
        <v>#REF!</v>
      </c>
      <c r="V217" s="1003" t="e">
        <f>IF(#REF!="","",#REF!)</f>
        <v>#REF!</v>
      </c>
      <c r="W217" s="1003" t="e">
        <f>IF(#REF!="","",#REF!)</f>
        <v>#REF!</v>
      </c>
      <c r="X217" s="1003" t="e">
        <f>IF(#REF!="","",#REF!)</f>
        <v>#REF!</v>
      </c>
      <c r="Y217" s="1004" t="e">
        <f>IF(#REF!="","",#REF!)</f>
        <v>#REF!</v>
      </c>
      <c r="Z217" s="970" t="e">
        <f>IF(SUM(P217:Y217)=0,"",SUM(P217:Y217))</f>
        <v>#REF!</v>
      </c>
      <c r="AA217" s="970"/>
    </row>
    <row r="218" spans="15:27" ht="10.8" customHeight="1">
      <c r="O218" s="1165"/>
      <c r="P218" s="972"/>
      <c r="Q218" s="972"/>
      <c r="R218" s="972"/>
      <c r="S218" s="972"/>
      <c r="T218" s="972"/>
      <c r="U218" s="972"/>
      <c r="V218" s="972"/>
      <c r="W218" s="972"/>
      <c r="X218" s="972"/>
      <c r="Y218" s="973"/>
      <c r="Z218" s="974" t="s">
        <v>153</v>
      </c>
      <c r="AA218" s="974" t="s">
        <v>151</v>
      </c>
    </row>
    <row r="219" spans="15:27" ht="10.8" customHeight="1">
      <c r="O219" s="1009"/>
      <c r="P219" s="974" t="s">
        <v>154</v>
      </c>
      <c r="Q219" s="976" t="s">
        <v>200</v>
      </c>
      <c r="R219" s="976" t="s">
        <v>201</v>
      </c>
      <c r="S219" s="976" t="s">
        <v>83</v>
      </c>
      <c r="T219" s="976" t="s">
        <v>11</v>
      </c>
      <c r="U219" s="976" t="s">
        <v>12</v>
      </c>
      <c r="V219" s="976" t="s">
        <v>14</v>
      </c>
      <c r="W219" s="976" t="s">
        <v>38</v>
      </c>
      <c r="X219" s="976" t="s">
        <v>145</v>
      </c>
      <c r="Y219" s="977" t="s">
        <v>13</v>
      </c>
      <c r="Z219" s="1158" t="e">
        <f>#REF!</f>
        <v>#REF!</v>
      </c>
      <c r="AA219" s="1156" t="str">
        <f>IFERROR(HLOOKUP("POLY4",#REF!,2,FALSE)-(Z219-Z212)/HLOOKUP("POLY4",P215:Y217,3,FALSE),"")</f>
        <v/>
      </c>
    </row>
    <row r="220" spans="15:27" ht="10.8" customHeight="1" thickBot="1">
      <c r="O220" s="1010"/>
      <c r="P220" s="993" t="e">
        <f>IF(#REF!="","",#REF!)</f>
        <v>#REF!</v>
      </c>
      <c r="Q220" s="994" t="e">
        <f>IF(#REF!="","",#REF!)</f>
        <v>#REF!</v>
      </c>
      <c r="R220" s="994" t="e">
        <f>IF(#REF!="","",#REF!)</f>
        <v>#REF!</v>
      </c>
      <c r="S220" s="995" t="e">
        <f>IF(#REF!="","",#REF!)</f>
        <v>#REF!</v>
      </c>
      <c r="T220" s="995" t="e">
        <f>IF(#REF!="","",#REF!)</f>
        <v>#REF!</v>
      </c>
      <c r="U220" s="995" t="e">
        <f>IF(#REF!="","",#REF!)</f>
        <v>#REF!</v>
      </c>
      <c r="V220" s="994" t="e">
        <f>IF(#REF!="","",#REF!)</f>
        <v>#REF!</v>
      </c>
      <c r="W220" s="994" t="e">
        <f>IF(#REF!="","",#REF!)</f>
        <v>#REF!</v>
      </c>
      <c r="X220" s="994" t="e">
        <f>IF(#REF!="","",#REF!)</f>
        <v>#REF!</v>
      </c>
      <c r="Y220" s="996" t="e">
        <f>IF(#REF!="","",#REF!)</f>
        <v>#REF!</v>
      </c>
      <c r="Z220" s="1159"/>
      <c r="AA220" s="1157"/>
    </row>
    <row r="221" spans="15:27" ht="10.199999999999999" customHeight="1">
      <c r="O221" s="956"/>
      <c r="P221" s="956"/>
      <c r="Q221" s="956"/>
      <c r="R221" s="956"/>
      <c r="S221" s="956"/>
      <c r="T221" s="956"/>
      <c r="U221" s="956"/>
      <c r="V221" s="956"/>
      <c r="W221" s="956"/>
      <c r="X221" s="956"/>
      <c r="Y221" s="956"/>
      <c r="Z221" s="956"/>
      <c r="AA221" s="956"/>
    </row>
    <row r="222" spans="15:27" ht="10.199999999999999" customHeight="1"/>
    <row r="231" spans="15:27" ht="29.4" customHeight="1">
      <c r="O231" s="1092" t="str">
        <f>"Blend: "&amp;IF(AND('NPK LP Model'!B10="",'NPK LP Model'!C10="",'NPK LP Model'!D10=""),"",'NPK LP Model'!B10&amp;":"&amp;'NPK LP Model'!C10&amp;":"&amp;'NPK LP Model'!D10&amp;IF('NPK LP Model'!E10="","","+"&amp;'NPK LP Model'!E10&amp;"S")&amp;IF('NPK LP Model'!F10="","","+"&amp;'NPK LP Model'!F10&amp;"MgO")&amp;IF('NPK LP Model'!G10="","","+"&amp;'NPK LP Model'!G10&amp;"CaO")&amp;IF('NPK LP Model'!H10="","","+"&amp;'NPK LP Model'!H10&amp;"B")&amp;IF('NPK LP Model'!I10="","","+"&amp;'NPK LP Model'!I10&amp;"Zn"))</f>
        <v>Blend: 15:15:15</v>
      </c>
      <c r="P231" s="1093"/>
      <c r="Q231" s="1093"/>
      <c r="R231" s="1093"/>
      <c r="S231" s="1093"/>
      <c r="T231" s="1093"/>
      <c r="U231" s="1093"/>
      <c r="V231" s="1093"/>
      <c r="W231" s="1093"/>
      <c r="X231" s="1093"/>
      <c r="Y231" s="1093"/>
      <c r="Z231" s="1093"/>
      <c r="AA231" s="1093"/>
    </row>
    <row r="232" spans="15:27" ht="18.75" customHeight="1">
      <c r="O232" s="1094"/>
      <c r="P232" s="1094"/>
      <c r="Q232" s="1094"/>
      <c r="R232" s="1094"/>
      <c r="S232" s="1094"/>
      <c r="T232" s="1094"/>
      <c r="U232" s="1094"/>
      <c r="V232" s="1094"/>
      <c r="W232" s="1094"/>
      <c r="X232" s="1094"/>
      <c r="Y232" s="1094"/>
      <c r="Z232" s="1094"/>
      <c r="AA232" s="1094"/>
    </row>
    <row r="233" spans="15:27" ht="26.4" customHeight="1">
      <c r="O233" s="1095" t="s">
        <v>205</v>
      </c>
      <c r="P233" s="1096"/>
      <c r="Q233" s="1097"/>
      <c r="R233" s="1097"/>
      <c r="S233" s="1097"/>
      <c r="T233" s="1098"/>
      <c r="U233" s="1098"/>
      <c r="V233" s="1098"/>
      <c r="W233" s="1098"/>
      <c r="X233" s="1098"/>
      <c r="Y233" s="1098"/>
      <c r="Z233" s="1098"/>
      <c r="AA233" s="1098"/>
    </row>
    <row r="234" spans="15:27" ht="26.4" customHeight="1">
      <c r="O234" s="1108" t="s">
        <v>231</v>
      </c>
      <c r="P234" s="1099"/>
      <c r="Q234" s="1099"/>
      <c r="R234" s="1099"/>
      <c r="S234" s="1099"/>
      <c r="T234" s="1099"/>
      <c r="U234" s="1099"/>
      <c r="V234" s="1099"/>
      <c r="W234" s="1099"/>
      <c r="X234" s="1099"/>
      <c r="Y234" s="1099"/>
      <c r="Z234" s="1099"/>
      <c r="AA234" s="1099"/>
    </row>
    <row r="235" spans="15:27" ht="26.4" customHeight="1">
      <c r="O235" s="1100" t="str">
        <f>IF('NPK LP Model'!B20="","",'NPK LP Model'!B20)</f>
        <v>Urea</v>
      </c>
      <c r="P235" s="1100" t="str">
        <f>IF('NPK LP Model'!C20="","",'NPK LP Model'!C20)</f>
        <v>DAP</v>
      </c>
      <c r="Q235" s="1100" t="str">
        <f>IF('NPK LP Model'!D20="","",'NPK LP Model'!D20)</f>
        <v>MOP</v>
      </c>
      <c r="R235" s="1100" t="str">
        <f>IF('NPK LP Model'!E20="","",'NPK LP Model'!E20)</f>
        <v>Filler</v>
      </c>
      <c r="S235" s="1100" t="str">
        <f>IF('NPK LP Model'!F20="","",'NPK LP Model'!F20)</f>
        <v/>
      </c>
      <c r="T235" s="1100" t="str">
        <f>IF('NPK LP Model'!G20="","",'NPK LP Model'!G20)</f>
        <v/>
      </c>
      <c r="U235" s="1100" t="str">
        <f>IF('NPK LP Model'!H20="","",'NPK LP Model'!H20)</f>
        <v/>
      </c>
      <c r="V235" s="1100" t="str">
        <f>IF('NPK LP Model'!I20="","",'NPK LP Model'!I20)</f>
        <v/>
      </c>
      <c r="W235" s="1100" t="str">
        <f>IF('NPK LP Model'!J20="","",'NPK LP Model'!J20)</f>
        <v/>
      </c>
      <c r="X235" s="1100" t="str">
        <f>IF('NPK LP Model'!K20="","",'NPK LP Model'!K20)</f>
        <v/>
      </c>
      <c r="Y235" s="1100" t="str">
        <f>IF('NPK LP Model'!L20="","",'NPK LP Model'!L20)</f>
        <v/>
      </c>
      <c r="Z235" s="1100" t="str">
        <f>IF('NPK LP Model'!M20="","",'NPK LP Model'!M20)</f>
        <v/>
      </c>
      <c r="AA235" s="1101" t="s">
        <v>94</v>
      </c>
    </row>
    <row r="236" spans="15:27" ht="26.4" customHeight="1">
      <c r="O236" s="1102">
        <f>IF('NPK LP Model'!B21="","",'NPK LP Model'!B21)</f>
        <v>0.19848771266540643</v>
      </c>
      <c r="P236" s="1102">
        <f>IF('NPK LP Model'!C21="","",'NPK LP Model'!C21)</f>
        <v>0.32608695652173914</v>
      </c>
      <c r="Q236" s="1102">
        <f>IF('NPK LP Model'!D21="","",'NPK LP Model'!D21)</f>
        <v>0.25</v>
      </c>
      <c r="R236" s="1102">
        <f>IF('NPK LP Model'!E21="","",'NPK LP Model'!E21)</f>
        <v>0.22542533081285443</v>
      </c>
      <c r="S236" s="1102" t="str">
        <f>IF('NPK LP Model'!F21="","",'NPK LP Model'!F21)</f>
        <v/>
      </c>
      <c r="T236" s="1102" t="str">
        <f>IF('NPK LP Model'!G21="","",'NPK LP Model'!G21)</f>
        <v/>
      </c>
      <c r="U236" s="1102" t="str">
        <f>IF('NPK LP Model'!H21="","",'NPK LP Model'!H21)</f>
        <v/>
      </c>
      <c r="V236" s="1102" t="str">
        <f>IF('NPK LP Model'!I21="","",'NPK LP Model'!I21)</f>
        <v/>
      </c>
      <c r="W236" s="1102" t="str">
        <f>IF('NPK LP Model'!J21="","",'NPK LP Model'!J21)</f>
        <v/>
      </c>
      <c r="X236" s="1102" t="str">
        <f>IF('NPK LP Model'!K21="","",'NPK LP Model'!K21)</f>
        <v/>
      </c>
      <c r="Y236" s="1102" t="str">
        <f>IF('NPK LP Model'!L21="","",'NPK LP Model'!L21)</f>
        <v/>
      </c>
      <c r="Z236" s="1102" t="str">
        <f>IF('NPK LP Model'!M21="","",'NPK LP Model'!M21)</f>
        <v/>
      </c>
      <c r="AA236" s="1102">
        <f>IF('NPK LP Model'!N21="","",'NPK LP Model'!N21)</f>
        <v>1</v>
      </c>
    </row>
    <row r="237" spans="15:27" ht="26.4" customHeight="1">
      <c r="O237" s="1099"/>
      <c r="P237" s="1099"/>
      <c r="Q237" s="1099"/>
      <c r="R237" s="1099"/>
      <c r="S237" s="1099"/>
      <c r="T237" s="1099"/>
      <c r="U237" s="1099"/>
      <c r="V237" s="1099"/>
      <c r="W237" s="1099"/>
      <c r="X237" s="1099"/>
      <c r="Y237" s="1099"/>
      <c r="Z237" s="1099"/>
      <c r="AA237" s="1099"/>
    </row>
    <row r="238" spans="15:27" ht="26.4" customHeight="1">
      <c r="O238" s="1103" t="s">
        <v>211</v>
      </c>
      <c r="P238" s="1104"/>
      <c r="Q238" s="1104"/>
      <c r="R238" s="1104"/>
      <c r="S238" s="1104"/>
      <c r="T238" s="1104"/>
      <c r="U238" s="1104"/>
      <c r="V238" s="1104"/>
      <c r="W238" s="1104"/>
      <c r="X238" s="1104"/>
      <c r="Y238" s="1104"/>
      <c r="Z238" s="1104"/>
      <c r="AA238" s="1104"/>
    </row>
    <row r="239" spans="15:27" ht="26.4" customHeight="1">
      <c r="O239" s="1109" t="s">
        <v>212</v>
      </c>
      <c r="P239" s="1099"/>
      <c r="Q239" s="1099"/>
      <c r="R239" s="1105"/>
      <c r="U239" s="1162">
        <f>IF('NPK LP Model'!E24="","",'NPK LP Model'!E24)</f>
        <v>257.33931947069948</v>
      </c>
      <c r="V239" s="1163"/>
      <c r="W239" s="1099"/>
      <c r="X239" s="1099"/>
      <c r="Y239" s="1099"/>
      <c r="Z239" s="1099"/>
      <c r="AA239" s="1099"/>
    </row>
    <row r="240" spans="15:27" ht="26.4" customHeight="1">
      <c r="O240" s="1099"/>
      <c r="P240" s="1099"/>
      <c r="Q240" s="1099"/>
      <c r="R240" s="1099"/>
      <c r="S240" s="1099"/>
      <c r="T240" s="1099"/>
      <c r="U240" s="1099"/>
      <c r="V240" s="1099"/>
      <c r="W240" s="1099"/>
      <c r="X240" s="1099"/>
      <c r="Y240" s="1099"/>
      <c r="Z240" s="1099"/>
      <c r="AA240" s="1099"/>
    </row>
    <row r="241" spans="15:27" ht="26.4" customHeight="1">
      <c r="O241" s="1110" t="s">
        <v>215</v>
      </c>
      <c r="P241" s="1099"/>
      <c r="Q241" s="1099"/>
      <c r="R241" s="1099"/>
      <c r="S241" s="1099"/>
      <c r="T241" s="1099"/>
      <c r="U241" s="1099"/>
      <c r="V241" s="1099"/>
      <c r="W241" s="1099"/>
      <c r="X241" s="1099"/>
      <c r="Y241" s="1099"/>
      <c r="Z241" s="1099"/>
      <c r="AA241" s="1099"/>
    </row>
    <row r="242" spans="15:27" ht="26.4" customHeight="1">
      <c r="O242" s="1106" t="s">
        <v>15</v>
      </c>
      <c r="P242" s="1106" t="s">
        <v>216</v>
      </c>
      <c r="Q242" s="1106" t="s">
        <v>217</v>
      </c>
      <c r="R242" s="1106" t="s">
        <v>16</v>
      </c>
      <c r="S242" s="1106" t="s">
        <v>11</v>
      </c>
      <c r="T242" s="1106" t="s">
        <v>12</v>
      </c>
      <c r="U242" s="1106" t="s">
        <v>14</v>
      </c>
      <c r="V242" s="1106" t="s">
        <v>38</v>
      </c>
      <c r="W242" s="1106" t="s">
        <v>13</v>
      </c>
      <c r="X242" s="1099"/>
      <c r="Y242" s="1099"/>
      <c r="Z242" s="1099"/>
      <c r="AA242" s="1099"/>
    </row>
    <row r="243" spans="15:27" ht="26.4" customHeight="1">
      <c r="O243" s="1133">
        <f>IF('NPK LP Model'!B28=0,"",'NPK LP Model'!B28)</f>
        <v>15</v>
      </c>
      <c r="P243" s="1133">
        <f>IF('NPK LP Model'!C28=0,"",'NPK LP Model'!C28)</f>
        <v>15</v>
      </c>
      <c r="Q243" s="1133">
        <f>IF('NPK LP Model'!D28=0,"",'NPK LP Model'!D28)</f>
        <v>15</v>
      </c>
      <c r="R243" s="1132" t="str">
        <f>IF('NPK LP Model'!E28=0,"",'NPK LP Model'!E28)</f>
        <v/>
      </c>
      <c r="S243" s="1132" t="str">
        <f>IF('NPK LP Model'!F28=0,"",'NPK LP Model'!F28)</f>
        <v/>
      </c>
      <c r="T243" s="1132" t="str">
        <f>IF('NPK LP Model'!G28=0,"",'NPK LP Model'!G28)</f>
        <v/>
      </c>
      <c r="U243" s="1132" t="str">
        <f>IF('NPK LP Model'!H28=0,"",'NPK LP Model'!H28)</f>
        <v/>
      </c>
      <c r="V243" s="1132" t="str">
        <f>IF('NPK LP Model'!I28=0,"",'NPK LP Model'!I28)</f>
        <v/>
      </c>
      <c r="W243" s="1132">
        <f>IF('NPK LP Model'!J28=0,"",'NPK LP Model'!J28)</f>
        <v>12</v>
      </c>
      <c r="X243" s="1107"/>
      <c r="Y243" s="1107"/>
      <c r="Z243" s="1107"/>
      <c r="AA243" s="1107"/>
    </row>
  </sheetData>
  <sheetProtection algorithmName="SHA-512" hashValue="mwbFpfVPyVjxMakV6MkpfRM+uW7MpLALw4hTMtGMKBZdqpq8ZQnoC4QE9y6vT0Nec6rvOsIgLHUOoqn2t5Y81w==" saltValue="3Nnexwv2n57u+zFusVxMKw==" spinCount="100000" sheet="1" objects="1" scenarios="1" selectLockedCells="1"/>
  <mergeCells count="17">
    <mergeCell ref="U239:V239"/>
    <mergeCell ref="O182:O183"/>
    <mergeCell ref="O189:O190"/>
    <mergeCell ref="O196:O197"/>
    <mergeCell ref="O203:O204"/>
    <mergeCell ref="O210:O211"/>
    <mergeCell ref="O217:O218"/>
    <mergeCell ref="AA184:AA185"/>
    <mergeCell ref="AA191:AA192"/>
    <mergeCell ref="Z219:Z220"/>
    <mergeCell ref="AA219:AA220"/>
    <mergeCell ref="AA205:AA206"/>
    <mergeCell ref="Z184:Z185"/>
    <mergeCell ref="Z198:Z199"/>
    <mergeCell ref="Z212:Z213"/>
    <mergeCell ref="Z191:Z192"/>
    <mergeCell ref="Z205:Z206"/>
  </mergeCells>
  <hyperlinks>
    <hyperlink ref="B37" location="'NPK LP Model'!A1" display="Go To Model" xr:uid="{1AED911A-C18D-412A-8771-793FDFF03176}"/>
  </hyperlinks>
  <pageMargins left="0.59055118110236215" right="0.23622047244094488" top="0.74803149606299213" bottom="0.74803149606299213" header="0.31496062992125984" footer="0.31496062992125984"/>
  <pageSetup paperSize="9" orientation="landscape" r:id="rId1"/>
  <ignoredErrors>
    <ignoredError sqref="P181:Y182 P185:Y185 P195:Y196 P199:Y199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olvePOLY4NPKBlend"/>
  <dimension ref="A1:AH242"/>
  <sheetViews>
    <sheetView showGridLines="0" tabSelected="1" zoomScale="90" zoomScaleNormal="90" workbookViewId="0">
      <selection activeCell="B10" sqref="B10"/>
    </sheetView>
  </sheetViews>
  <sheetFormatPr defaultColWidth="12.6640625" defaultRowHeight="13.8"/>
  <cols>
    <col min="1" max="1" width="23" style="414" customWidth="1"/>
    <col min="2" max="2" width="20.21875" style="414" customWidth="1"/>
    <col min="3" max="14" width="19.5546875" style="414" customWidth="1"/>
    <col min="15" max="15" width="20.21875" style="414" customWidth="1"/>
    <col min="16" max="16" width="16.6640625" style="414" customWidth="1"/>
    <col min="17" max="17" width="9.109375" style="414" customWidth="1"/>
    <col min="18" max="18" width="2" style="414" customWidth="1"/>
    <col min="19" max="19" width="9.5546875" style="414" customWidth="1"/>
    <col min="20" max="20" width="8.44140625" style="414" customWidth="1"/>
    <col min="21" max="21" width="8.33203125" style="414" customWidth="1"/>
    <col min="22" max="22" width="7.88671875" style="414" customWidth="1"/>
    <col min="23" max="30" width="7" style="414" customWidth="1"/>
    <col min="31" max="31" width="6" style="420" customWidth="1"/>
    <col min="32" max="32" width="7.88671875" style="420" customWidth="1"/>
    <col min="33" max="33" width="7.6640625" style="414" customWidth="1"/>
    <col min="34" max="34" width="6.6640625" style="438" customWidth="1"/>
    <col min="35" max="41" width="6" style="414" customWidth="1"/>
    <col min="42" max="16384" width="12.6640625" style="414"/>
  </cols>
  <sheetData>
    <row r="1" spans="2:34" ht="24" customHeight="1" thickBot="1">
      <c r="B1" s="1011" t="s">
        <v>124</v>
      </c>
      <c r="C1" s="416"/>
      <c r="D1" s="417"/>
      <c r="E1" s="417"/>
      <c r="F1" s="417"/>
      <c r="G1" s="417"/>
      <c r="H1" s="417"/>
      <c r="I1" s="417"/>
      <c r="J1" s="417"/>
      <c r="K1" s="417"/>
      <c r="L1" s="417"/>
      <c r="M1" s="417"/>
      <c r="N1" s="418"/>
      <c r="AE1" s="414"/>
      <c r="AF1" s="414"/>
      <c r="AH1" s="414"/>
    </row>
    <row r="2" spans="2:34" ht="12" customHeight="1" thickBot="1">
      <c r="B2" s="419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30"/>
      <c r="AE2" s="414"/>
      <c r="AF2" s="414"/>
      <c r="AH2" s="414"/>
    </row>
    <row r="3" spans="2:34" ht="28.2" customHeight="1">
      <c r="B3" s="1114" t="s">
        <v>218</v>
      </c>
      <c r="C3" s="1112"/>
      <c r="D3" s="1113"/>
      <c r="E3" s="1054"/>
      <c r="F3" s="1054"/>
      <c r="G3" s="1054"/>
      <c r="H3" s="1054"/>
      <c r="I3" s="1055"/>
      <c r="J3" s="1055"/>
      <c r="K3" s="1055"/>
      <c r="L3" s="1055"/>
      <c r="M3" s="1055"/>
      <c r="N3" s="1056"/>
      <c r="AE3" s="414"/>
      <c r="AF3" s="414"/>
      <c r="AH3" s="414"/>
    </row>
    <row r="4" spans="2:34" ht="21" customHeight="1">
      <c r="B4" s="1057" t="s">
        <v>0</v>
      </c>
      <c r="C4" s="1014" t="s">
        <v>1</v>
      </c>
      <c r="D4" s="1014" t="s">
        <v>2</v>
      </c>
      <c r="E4" s="1014" t="s">
        <v>3</v>
      </c>
      <c r="F4" s="1014" t="s">
        <v>4</v>
      </c>
      <c r="G4" s="1014" t="s">
        <v>5</v>
      </c>
      <c r="H4" s="1014" t="s">
        <v>6</v>
      </c>
      <c r="I4" s="1014" t="s">
        <v>7</v>
      </c>
      <c r="J4" s="1014" t="s">
        <v>8</v>
      </c>
      <c r="K4" s="1014" t="s">
        <v>149</v>
      </c>
      <c r="L4" s="1014" t="s">
        <v>209</v>
      </c>
      <c r="M4" s="1014" t="s">
        <v>210</v>
      </c>
      <c r="N4" s="1091"/>
      <c r="AE4" s="414"/>
      <c r="AF4" s="414"/>
      <c r="AH4" s="414"/>
    </row>
    <row r="5" spans="2:34" ht="21" customHeight="1">
      <c r="B5" s="1069" t="s">
        <v>79</v>
      </c>
      <c r="C5" s="1070" t="s">
        <v>78</v>
      </c>
      <c r="D5" s="1070" t="s">
        <v>43</v>
      </c>
      <c r="E5" s="1070" t="s">
        <v>41</v>
      </c>
      <c r="F5" s="1070"/>
      <c r="G5" s="1070"/>
      <c r="H5" s="1070"/>
      <c r="I5" s="1070"/>
      <c r="J5" s="1070"/>
      <c r="K5" s="1070"/>
      <c r="L5" s="1070"/>
      <c r="M5" s="1070"/>
      <c r="N5" s="1040"/>
      <c r="AE5" s="414"/>
      <c r="AF5" s="414"/>
      <c r="AH5" s="414"/>
    </row>
    <row r="6" spans="2:34" ht="21" customHeight="1">
      <c r="B6" s="1128">
        <v>250</v>
      </c>
      <c r="C6" s="1129">
        <v>430</v>
      </c>
      <c r="D6" s="1129">
        <v>270</v>
      </c>
      <c r="E6" s="1129"/>
      <c r="F6" s="1129"/>
      <c r="G6" s="1129"/>
      <c r="H6" s="1129"/>
      <c r="I6" s="1129"/>
      <c r="J6" s="1129"/>
      <c r="K6" s="1129"/>
      <c r="L6" s="1130"/>
      <c r="M6" s="1130"/>
      <c r="N6" s="1040"/>
      <c r="AE6" s="414"/>
      <c r="AF6" s="414"/>
      <c r="AH6" s="414"/>
    </row>
    <row r="7" spans="2:34" ht="21" customHeight="1">
      <c r="B7" s="1058"/>
      <c r="C7" s="1023"/>
      <c r="D7" s="1023"/>
      <c r="E7" s="1023"/>
      <c r="F7" s="1023"/>
      <c r="G7" s="1023"/>
      <c r="H7" s="1023"/>
      <c r="I7" s="1023"/>
      <c r="J7" s="1024"/>
      <c r="K7" s="1023"/>
      <c r="L7" s="1023"/>
      <c r="M7" s="1023"/>
      <c r="N7" s="1041"/>
      <c r="AE7" s="414"/>
      <c r="AF7" s="414"/>
      <c r="AH7" s="414"/>
    </row>
    <row r="8" spans="2:34" ht="21" customHeight="1">
      <c r="B8" s="1115" t="s">
        <v>203</v>
      </c>
      <c r="C8" s="1026"/>
      <c r="D8" s="1027"/>
      <c r="E8" s="1027"/>
      <c r="F8" s="1027"/>
      <c r="G8" s="1028"/>
      <c r="H8" s="1028"/>
      <c r="I8" s="1028"/>
      <c r="J8" s="1028"/>
      <c r="K8" s="1028"/>
      <c r="L8" s="1028"/>
      <c r="M8" s="1028"/>
      <c r="N8" s="1039"/>
      <c r="AE8" s="414"/>
      <c r="AF8" s="414"/>
      <c r="AH8" s="414"/>
    </row>
    <row r="9" spans="2:34" ht="21" customHeight="1">
      <c r="B9" s="1059" t="s">
        <v>66</v>
      </c>
      <c r="C9" s="1015" t="s">
        <v>117</v>
      </c>
      <c r="D9" s="1015" t="s">
        <v>118</v>
      </c>
      <c r="E9" s="1015" t="s">
        <v>16</v>
      </c>
      <c r="F9" s="1015" t="s">
        <v>11</v>
      </c>
      <c r="G9" s="1015" t="s">
        <v>12</v>
      </c>
      <c r="H9" s="1015" t="s">
        <v>14</v>
      </c>
      <c r="I9" s="1015" t="s">
        <v>38</v>
      </c>
      <c r="J9" s="1084"/>
      <c r="K9" s="1084"/>
      <c r="L9" s="1018"/>
      <c r="M9" s="1085"/>
      <c r="N9" s="1086"/>
      <c r="AE9" s="414"/>
      <c r="AF9" s="414"/>
      <c r="AH9" s="414"/>
    </row>
    <row r="10" spans="2:34" ht="21" customHeight="1">
      <c r="B10" s="1071">
        <v>15</v>
      </c>
      <c r="C10" s="1072">
        <v>15</v>
      </c>
      <c r="D10" s="1072">
        <v>15</v>
      </c>
      <c r="E10" s="1072"/>
      <c r="F10" s="1072"/>
      <c r="G10" s="1072"/>
      <c r="H10" s="1072"/>
      <c r="I10" s="1072"/>
      <c r="J10" s="1087"/>
      <c r="K10" s="1087"/>
      <c r="L10" s="1088"/>
      <c r="M10" s="1089"/>
      <c r="N10" s="1090"/>
      <c r="AE10" s="414"/>
      <c r="AF10" s="414"/>
      <c r="AH10" s="414"/>
    </row>
    <row r="11" spans="2:34" ht="21" customHeight="1">
      <c r="B11" s="1058"/>
      <c r="C11" s="1023"/>
      <c r="D11" s="1023"/>
      <c r="E11" s="1023"/>
      <c r="F11" s="1023"/>
      <c r="G11" s="1023"/>
      <c r="H11" s="1023"/>
      <c r="I11" s="1023"/>
      <c r="J11" s="1023"/>
      <c r="K11" s="1023"/>
      <c r="L11" s="1023"/>
      <c r="M11" s="1023"/>
      <c r="N11" s="1041"/>
      <c r="AE11" s="414"/>
      <c r="AF11" s="414"/>
      <c r="AH11" s="414"/>
    </row>
    <row r="12" spans="2:34" ht="21" customHeight="1">
      <c r="B12" s="1115" t="s">
        <v>204</v>
      </c>
      <c r="C12" s="1026"/>
      <c r="D12" s="1027"/>
      <c r="E12" s="1027"/>
      <c r="F12" s="1027"/>
      <c r="G12" s="1028"/>
      <c r="H12" s="1028"/>
      <c r="I12" s="1028"/>
      <c r="J12" s="1028"/>
      <c r="K12" s="1028"/>
      <c r="L12" s="1028"/>
      <c r="M12" s="1028"/>
      <c r="N12" s="1039"/>
      <c r="AE12" s="414"/>
      <c r="AF12" s="414"/>
      <c r="AH12" s="414"/>
    </row>
    <row r="13" spans="2:34" ht="21" customHeight="1">
      <c r="B13" s="1060" t="s">
        <v>206</v>
      </c>
      <c r="C13" s="1017" t="s">
        <v>113</v>
      </c>
      <c r="D13" s="1018"/>
      <c r="E13" s="1012" t="s">
        <v>207</v>
      </c>
      <c r="F13" s="1017" t="s">
        <v>113</v>
      </c>
      <c r="G13" s="1013"/>
      <c r="H13" s="1012" t="s">
        <v>208</v>
      </c>
      <c r="I13" s="1017" t="s">
        <v>113</v>
      </c>
      <c r="J13" s="1013"/>
      <c r="K13" s="1019" t="s">
        <v>98</v>
      </c>
      <c r="L13" s="1017" t="s">
        <v>113</v>
      </c>
      <c r="M13" s="1020">
        <v>0</v>
      </c>
      <c r="N13" s="1043"/>
      <c r="AE13" s="414"/>
      <c r="AF13" s="414"/>
      <c r="AH13" s="414"/>
    </row>
    <row r="14" spans="2:34" ht="21" customHeight="1">
      <c r="B14" s="421"/>
      <c r="C14" s="422"/>
      <c r="D14" s="422"/>
      <c r="E14" s="422"/>
      <c r="F14" s="422"/>
      <c r="G14" s="422"/>
      <c r="H14" s="422"/>
      <c r="I14" s="422"/>
      <c r="J14" s="422"/>
      <c r="K14" s="422"/>
      <c r="L14" s="422"/>
      <c r="M14" s="422"/>
      <c r="N14" s="1044"/>
      <c r="AE14" s="414"/>
      <c r="AF14" s="414"/>
      <c r="AH14" s="414"/>
    </row>
    <row r="15" spans="2:34" ht="21" customHeight="1">
      <c r="B15" s="1073"/>
      <c r="C15" s="1074"/>
      <c r="D15" s="1075"/>
      <c r="E15" s="1076"/>
      <c r="F15" s="1074"/>
      <c r="G15" s="1075"/>
      <c r="H15" s="1076"/>
      <c r="I15" s="1074"/>
      <c r="J15" s="1075"/>
      <c r="K15" s="1076"/>
      <c r="L15" s="1074"/>
      <c r="M15" s="1075"/>
      <c r="N15" s="1077"/>
      <c r="AE15" s="414"/>
      <c r="AF15" s="414"/>
      <c r="AH15" s="414"/>
    </row>
    <row r="16" spans="2:34" ht="21" customHeight="1">
      <c r="B16" s="1078"/>
      <c r="C16" s="1079"/>
      <c r="D16" s="1080"/>
      <c r="E16" s="1081"/>
      <c r="F16" s="1079"/>
      <c r="G16" s="1080"/>
      <c r="H16" s="1081"/>
      <c r="I16" s="1079"/>
      <c r="J16" s="1080"/>
      <c r="K16" s="1081"/>
      <c r="L16" s="1079"/>
      <c r="M16" s="1080"/>
      <c r="N16" s="1082"/>
      <c r="AE16" s="414"/>
      <c r="AF16" s="414"/>
      <c r="AH16" s="414"/>
    </row>
    <row r="17" spans="2:34" ht="21" customHeight="1">
      <c r="B17" s="1061"/>
      <c r="C17" s="1025"/>
      <c r="D17" s="1025"/>
      <c r="E17" s="1025"/>
      <c r="F17" s="1025"/>
      <c r="G17" s="1025"/>
      <c r="H17" s="1025"/>
      <c r="I17" s="1025"/>
      <c r="J17" s="1025"/>
      <c r="K17" s="1025"/>
      <c r="L17" s="1025"/>
      <c r="M17" s="1025"/>
      <c r="N17" s="1045"/>
      <c r="AE17" s="414"/>
      <c r="AF17" s="414"/>
      <c r="AH17" s="414"/>
    </row>
    <row r="18" spans="2:34" ht="21" customHeight="1">
      <c r="B18" s="1117" t="s">
        <v>205</v>
      </c>
      <c r="C18" s="1029"/>
      <c r="D18" s="1030"/>
      <c r="E18" s="1030"/>
      <c r="F18" s="1030"/>
      <c r="G18" s="1031"/>
      <c r="H18" s="1031"/>
      <c r="I18" s="1031"/>
      <c r="J18" s="1031"/>
      <c r="K18" s="1031"/>
      <c r="L18" s="1031"/>
      <c r="M18" s="1031"/>
      <c r="N18" s="1046"/>
      <c r="AE18" s="414"/>
      <c r="AF18" s="414"/>
      <c r="AH18" s="414"/>
    </row>
    <row r="19" spans="2:34" ht="21" customHeight="1">
      <c r="B19" s="1062" t="s">
        <v>213</v>
      </c>
      <c r="C19" s="1032"/>
      <c r="D19" s="1032"/>
      <c r="E19" s="1032"/>
      <c r="F19" s="1032"/>
      <c r="G19" s="1032"/>
      <c r="H19" s="1032"/>
      <c r="I19" s="1032"/>
      <c r="J19" s="1032"/>
      <c r="K19" s="1032"/>
      <c r="L19" s="1032"/>
      <c r="M19" s="1032"/>
      <c r="N19" s="1047"/>
      <c r="AE19" s="414"/>
      <c r="AF19" s="414"/>
      <c r="AH19" s="414"/>
    </row>
    <row r="20" spans="2:34" ht="21" customHeight="1">
      <c r="B20" s="1063" t="str">
        <f>IF(B5="","",B5)</f>
        <v>Urea</v>
      </c>
      <c r="C20" s="1033" t="str">
        <f t="shared" ref="C20:M20" si="0">IF(C5="","",C5)</f>
        <v>DAP</v>
      </c>
      <c r="D20" s="1033" t="str">
        <f t="shared" si="0"/>
        <v>MOP</v>
      </c>
      <c r="E20" s="1033" t="str">
        <f t="shared" si="0"/>
        <v>Filler</v>
      </c>
      <c r="F20" s="1033" t="str">
        <f t="shared" si="0"/>
        <v/>
      </c>
      <c r="G20" s="1033" t="str">
        <f t="shared" si="0"/>
        <v/>
      </c>
      <c r="H20" s="1033" t="str">
        <f t="shared" si="0"/>
        <v/>
      </c>
      <c r="I20" s="1033" t="str">
        <f t="shared" si="0"/>
        <v/>
      </c>
      <c r="J20" s="1033" t="str">
        <f t="shared" si="0"/>
        <v/>
      </c>
      <c r="K20" s="1033" t="str">
        <f t="shared" si="0"/>
        <v/>
      </c>
      <c r="L20" s="1033" t="str">
        <f t="shared" si="0"/>
        <v/>
      </c>
      <c r="M20" s="1033" t="str">
        <f t="shared" si="0"/>
        <v/>
      </c>
      <c r="N20" s="1048" t="s">
        <v>94</v>
      </c>
      <c r="AE20" s="414"/>
      <c r="AF20" s="414"/>
      <c r="AH20" s="414"/>
    </row>
    <row r="21" spans="2:34" ht="21" customHeight="1">
      <c r="B21" s="1064">
        <f>IFERROR(IF(OR(B5="",B72=""),"",B72),"")</f>
        <v>0.19848771266540643</v>
      </c>
      <c r="C21" s="1021">
        <f>IFERROR(IF(OR(C5="",C72=""),"",C72),"")</f>
        <v>0.32608695652173914</v>
      </c>
      <c r="D21" s="1021">
        <f t="shared" ref="D21:M21" si="1">IFERROR(IF(OR(D5="",D72=""),"",D72),"")</f>
        <v>0.25</v>
      </c>
      <c r="E21" s="1021">
        <f t="shared" si="1"/>
        <v>0.22542533081285443</v>
      </c>
      <c r="F21" s="1021" t="str">
        <f t="shared" si="1"/>
        <v/>
      </c>
      <c r="G21" s="1021" t="str">
        <f t="shared" si="1"/>
        <v/>
      </c>
      <c r="H21" s="1021" t="str">
        <f t="shared" si="1"/>
        <v/>
      </c>
      <c r="I21" s="1021" t="str">
        <f t="shared" si="1"/>
        <v/>
      </c>
      <c r="J21" s="1021" t="str">
        <f t="shared" si="1"/>
        <v/>
      </c>
      <c r="K21" s="1021" t="str">
        <f t="shared" si="1"/>
        <v/>
      </c>
      <c r="L21" s="1021" t="str">
        <f t="shared" si="1"/>
        <v/>
      </c>
      <c r="M21" s="1021" t="str">
        <f t="shared" si="1"/>
        <v/>
      </c>
      <c r="N21" s="1151">
        <f>IF(SUM(B21:M21)=0,"",SUM(B21:M21))</f>
        <v>1</v>
      </c>
      <c r="AE21" s="414"/>
      <c r="AF21" s="414"/>
      <c r="AH21" s="414"/>
    </row>
    <row r="22" spans="2:34" ht="21" customHeight="1">
      <c r="B22" s="1065"/>
      <c r="C22" s="1013"/>
      <c r="D22" s="1013"/>
      <c r="E22" s="1013"/>
      <c r="F22" s="1013"/>
      <c r="G22" s="1013"/>
      <c r="H22" s="1013"/>
      <c r="I22" s="1013"/>
      <c r="J22" s="1013"/>
      <c r="K22" s="1013"/>
      <c r="L22" s="1013"/>
      <c r="M22" s="1013"/>
      <c r="N22" s="1043"/>
      <c r="AE22" s="414"/>
      <c r="AF22" s="414"/>
      <c r="AH22" s="414"/>
    </row>
    <row r="23" spans="2:34" ht="21" customHeight="1">
      <c r="B23" s="1116" t="s">
        <v>211</v>
      </c>
      <c r="C23" s="1038"/>
      <c r="D23" s="1038"/>
      <c r="E23" s="1038"/>
      <c r="F23" s="1038"/>
      <c r="G23" s="1038"/>
      <c r="H23" s="1038"/>
      <c r="I23" s="1038"/>
      <c r="J23" s="1038"/>
      <c r="K23" s="1038"/>
      <c r="L23" s="1038"/>
      <c r="M23" s="1038"/>
      <c r="N23" s="1049"/>
      <c r="AE23" s="414"/>
      <c r="AF23" s="414"/>
      <c r="AH23" s="414"/>
    </row>
    <row r="24" spans="2:34" ht="21" customHeight="1">
      <c r="B24" s="1127" t="s">
        <v>212</v>
      </c>
      <c r="C24" s="1035"/>
      <c r="D24" s="1036"/>
      <c r="E24" s="1034">
        <f>IF('NPK LP Model'!P73=0,"",'NPK LP Model'!P73)</f>
        <v>257.33931947069948</v>
      </c>
      <c r="F24" s="1025"/>
      <c r="G24" s="1025"/>
      <c r="H24" s="1025"/>
      <c r="I24" s="1025"/>
      <c r="J24" s="1025"/>
      <c r="K24" s="1025"/>
      <c r="L24" s="1025"/>
      <c r="M24" s="1025"/>
      <c r="N24" s="1045"/>
      <c r="AE24" s="414"/>
      <c r="AF24" s="414"/>
      <c r="AH24" s="414"/>
    </row>
    <row r="25" spans="2:34" ht="21" customHeight="1">
      <c r="B25" s="1058"/>
      <c r="C25" s="1023"/>
      <c r="D25" s="1023"/>
      <c r="E25" s="1023"/>
      <c r="F25" s="1023"/>
      <c r="G25" s="1023"/>
      <c r="H25" s="1023"/>
      <c r="I25" s="1023"/>
      <c r="J25" s="1023"/>
      <c r="K25" s="1023"/>
      <c r="L25" s="1023"/>
      <c r="M25" s="1023"/>
      <c r="N25" s="1041"/>
      <c r="AE25" s="414"/>
      <c r="AF25" s="414"/>
      <c r="AH25" s="414"/>
    </row>
    <row r="26" spans="2:34" ht="21" customHeight="1">
      <c r="B26" s="1068" t="s">
        <v>214</v>
      </c>
      <c r="C26" s="1037"/>
      <c r="D26" s="1037"/>
      <c r="E26" s="1037"/>
      <c r="F26" s="1037"/>
      <c r="G26" s="1037"/>
      <c r="H26" s="1037"/>
      <c r="I26" s="1037"/>
      <c r="J26" s="1037"/>
      <c r="K26" s="1037"/>
      <c r="L26" s="1037"/>
      <c r="M26" s="1037"/>
      <c r="N26" s="1050"/>
      <c r="AE26" s="414"/>
      <c r="AF26" s="414"/>
      <c r="AH26" s="414"/>
    </row>
    <row r="27" spans="2:34" ht="21" customHeight="1">
      <c r="B27" s="1066" t="s">
        <v>15</v>
      </c>
      <c r="C27" s="1022" t="s">
        <v>119</v>
      </c>
      <c r="D27" s="1022" t="s">
        <v>120</v>
      </c>
      <c r="E27" s="1022" t="s">
        <v>16</v>
      </c>
      <c r="F27" s="1022" t="s">
        <v>11</v>
      </c>
      <c r="G27" s="1022" t="s">
        <v>12</v>
      </c>
      <c r="H27" s="1022" t="s">
        <v>14</v>
      </c>
      <c r="I27" s="1022" t="s">
        <v>38</v>
      </c>
      <c r="J27" s="1022" t="s">
        <v>13</v>
      </c>
      <c r="K27" s="1016"/>
      <c r="L27" s="1016"/>
      <c r="M27" s="1016"/>
      <c r="N27" s="1042"/>
      <c r="AE27" s="414"/>
      <c r="AF27" s="414"/>
      <c r="AH27" s="414"/>
    </row>
    <row r="28" spans="2:34" ht="21" customHeight="1" thickBot="1">
      <c r="B28" s="1067">
        <f>IF(N75=0,"",N75)</f>
        <v>15</v>
      </c>
      <c r="C28" s="1051">
        <f>IF(N76=0,"",N76)</f>
        <v>15</v>
      </c>
      <c r="D28" s="1051">
        <f>IF(N77=0,"",N77)</f>
        <v>15</v>
      </c>
      <c r="E28" s="1052" t="str">
        <f>IF(N78=0,"",N78)</f>
        <v/>
      </c>
      <c r="F28" s="1052" t="str">
        <f>IF(N79=0,"",N79)</f>
        <v/>
      </c>
      <c r="G28" s="1052" t="str">
        <f>IF(N80=0,"",N80)</f>
        <v/>
      </c>
      <c r="H28" s="1052" t="str">
        <f>IF(N82=0,"",N82)</f>
        <v/>
      </c>
      <c r="I28" s="1052" t="str">
        <f>IF(N83=0,"",N83)</f>
        <v/>
      </c>
      <c r="J28" s="1052">
        <f>IF(N81=0,"",N81)</f>
        <v>12</v>
      </c>
      <c r="K28" s="1053"/>
      <c r="L28" s="1053"/>
      <c r="M28" s="1053"/>
      <c r="N28" s="1083"/>
      <c r="AE28" s="414"/>
      <c r="AF28" s="414"/>
      <c r="AH28" s="414"/>
    </row>
    <row r="29" spans="2:34" ht="18" customHeight="1">
      <c r="AE29" s="414"/>
      <c r="AF29" s="414"/>
      <c r="AH29" s="414"/>
    </row>
    <row r="30" spans="2:34" ht="15" customHeight="1">
      <c r="AE30" s="414"/>
      <c r="AF30" s="414"/>
      <c r="AH30" s="414"/>
    </row>
    <row r="31" spans="2:34" ht="14.25" customHeight="1">
      <c r="AE31" s="414"/>
      <c r="AF31" s="414"/>
      <c r="AH31" s="414"/>
    </row>
    <row r="32" spans="2:34" ht="17.25" customHeight="1">
      <c r="AE32" s="414"/>
      <c r="AF32" s="414"/>
      <c r="AH32" s="414"/>
    </row>
    <row r="33" spans="8:34" ht="17.25" customHeight="1">
      <c r="AE33" s="414"/>
      <c r="AF33" s="414"/>
      <c r="AH33" s="414"/>
    </row>
    <row r="34" spans="8:34" ht="17.25" customHeight="1">
      <c r="AE34" s="414"/>
      <c r="AF34" s="414"/>
      <c r="AH34" s="414"/>
    </row>
    <row r="35" spans="8:34" ht="17.25" customHeight="1">
      <c r="H35" s="414" t="s">
        <v>202</v>
      </c>
      <c r="AE35" s="414"/>
      <c r="AF35" s="414"/>
      <c r="AH35" s="414"/>
    </row>
    <row r="36" spans="8:34" ht="17.25" customHeight="1">
      <c r="AE36" s="414"/>
      <c r="AF36" s="414"/>
      <c r="AH36" s="414"/>
    </row>
    <row r="37" spans="8:34" ht="17.25" customHeight="1">
      <c r="AE37" s="414"/>
      <c r="AF37" s="414"/>
      <c r="AH37" s="414"/>
    </row>
    <row r="38" spans="8:34" ht="17.25" customHeight="1">
      <c r="AE38" s="414"/>
      <c r="AF38" s="414"/>
      <c r="AH38" s="414"/>
    </row>
    <row r="39" spans="8:34" ht="17.25" customHeight="1">
      <c r="AE39" s="414"/>
      <c r="AF39" s="414"/>
      <c r="AH39" s="414"/>
    </row>
    <row r="40" spans="8:34" s="829" customFormat="1" ht="16.5" customHeight="1"/>
    <row r="41" spans="8:34" s="829" customFormat="1" ht="13.2"/>
    <row r="42" spans="8:34" s="829" customFormat="1" ht="13.5" customHeight="1"/>
    <row r="43" spans="8:34" s="829" customFormat="1" ht="13.2"/>
    <row r="44" spans="8:34" s="829" customFormat="1" ht="13.5" customHeight="1"/>
    <row r="45" spans="8:34" s="829" customFormat="1" ht="15.75" customHeight="1"/>
    <row r="46" spans="8:34" s="829" customFormat="1" ht="15.75" customHeight="1"/>
    <row r="47" spans="8:34" s="829" customFormat="1" ht="15.75" customHeight="1"/>
    <row r="48" spans="8:34" s="829" customFormat="1" ht="15.75" customHeight="1"/>
    <row r="49" spans="1:16" s="829" customFormat="1" ht="15.75" hidden="1" customHeight="1"/>
    <row r="50" spans="1:16" s="829" customFormat="1" ht="15.75" hidden="1" customHeight="1"/>
    <row r="51" spans="1:16" s="829" customFormat="1" ht="15.75" hidden="1" customHeight="1"/>
    <row r="52" spans="1:16" s="829" customFormat="1" ht="15.75" hidden="1" customHeight="1"/>
    <row r="53" spans="1:16" s="829" customFormat="1" ht="15.75" hidden="1" customHeight="1">
      <c r="B53" s="869">
        <v>1</v>
      </c>
      <c r="C53" s="869">
        <v>2</v>
      </c>
      <c r="D53" s="869">
        <v>3</v>
      </c>
      <c r="E53" s="869">
        <v>4</v>
      </c>
      <c r="F53" s="869">
        <v>5</v>
      </c>
      <c r="G53" s="869">
        <v>6</v>
      </c>
      <c r="H53" s="869">
        <v>7</v>
      </c>
      <c r="I53" s="869">
        <v>8</v>
      </c>
      <c r="J53" s="869">
        <v>9</v>
      </c>
      <c r="K53" s="869">
        <v>10</v>
      </c>
      <c r="L53" s="869">
        <v>11</v>
      </c>
      <c r="M53" s="869">
        <v>12</v>
      </c>
    </row>
    <row r="54" spans="1:16" s="829" customFormat="1" ht="27.75" hidden="1" customHeight="1">
      <c r="A54" s="861"/>
      <c r="B54" s="862" t="str">
        <f>B71</f>
        <v>Urea</v>
      </c>
      <c r="C54" s="862" t="str">
        <f t="shared" ref="C54:M54" si="2">C71</f>
        <v>DAP</v>
      </c>
      <c r="D54" s="862" t="str">
        <f t="shared" si="2"/>
        <v>MOP</v>
      </c>
      <c r="E54" s="862" t="str">
        <f t="shared" si="2"/>
        <v>Filler</v>
      </c>
      <c r="F54" s="862" t="str">
        <f t="shared" si="2"/>
        <v/>
      </c>
      <c r="G54" s="862" t="str">
        <f t="shared" si="2"/>
        <v/>
      </c>
      <c r="H54" s="862" t="str">
        <f t="shared" si="2"/>
        <v/>
      </c>
      <c r="I54" s="862" t="str">
        <f t="shared" si="2"/>
        <v/>
      </c>
      <c r="J54" s="862" t="str">
        <f t="shared" si="2"/>
        <v/>
      </c>
      <c r="K54" s="862" t="str">
        <f t="shared" si="2"/>
        <v/>
      </c>
      <c r="L54" s="862" t="str">
        <f t="shared" si="2"/>
        <v/>
      </c>
      <c r="M54" s="862" t="str">
        <f t="shared" si="2"/>
        <v/>
      </c>
      <c r="N54" s="887"/>
      <c r="O54" s="888"/>
      <c r="P54" s="1123"/>
    </row>
    <row r="55" spans="1:16" s="829" customFormat="1" ht="13.2" hidden="1">
      <c r="A55" s="831"/>
      <c r="B55" s="1143"/>
      <c r="C55" s="1143"/>
      <c r="D55" s="1143"/>
      <c r="E55" s="1143"/>
      <c r="F55" s="1143"/>
      <c r="G55" s="1143"/>
      <c r="H55" s="1143"/>
      <c r="I55" s="1143"/>
      <c r="J55" s="1143"/>
      <c r="K55" s="1143"/>
      <c r="L55" s="1143"/>
      <c r="M55" s="1143"/>
      <c r="N55" s="830"/>
      <c r="O55" s="828"/>
      <c r="P55" s="1124"/>
    </row>
    <row r="56" spans="1:16" s="829" customFormat="1" ht="13.2" hidden="1">
      <c r="A56" s="831"/>
      <c r="B56" s="1144"/>
      <c r="C56" s="1144"/>
      <c r="D56" s="1144"/>
      <c r="E56" s="1144"/>
      <c r="F56" s="1144"/>
      <c r="G56" s="1144"/>
      <c r="H56" s="1144"/>
      <c r="I56" s="1144"/>
      <c r="J56" s="1144"/>
      <c r="K56" s="1144"/>
      <c r="L56" s="1144"/>
      <c r="M56" s="1144"/>
      <c r="N56" s="830"/>
      <c r="O56" s="828"/>
      <c r="P56" s="1124"/>
    </row>
    <row r="57" spans="1:16" s="829" customFormat="1" ht="13.2" hidden="1">
      <c r="A57" s="831"/>
      <c r="B57" s="1145"/>
      <c r="C57" s="1145"/>
      <c r="D57" s="1145"/>
      <c r="E57" s="1145"/>
      <c r="F57" s="1145"/>
      <c r="G57" s="1145"/>
      <c r="H57" s="1145"/>
      <c r="I57" s="1145"/>
      <c r="J57" s="1145"/>
      <c r="K57" s="1145"/>
      <c r="L57" s="1145"/>
      <c r="M57" s="1145"/>
      <c r="N57" s="830"/>
      <c r="O57" s="828"/>
      <c r="P57" s="1124"/>
    </row>
    <row r="58" spans="1:16" s="829" customFormat="1" ht="13.2" hidden="1">
      <c r="A58" s="841" t="s">
        <v>80</v>
      </c>
      <c r="B58" s="1146">
        <v>46</v>
      </c>
      <c r="C58" s="1146">
        <v>18</v>
      </c>
      <c r="D58" s="1146"/>
      <c r="E58" s="1146"/>
      <c r="F58" s="1146"/>
      <c r="G58" s="1146"/>
      <c r="H58" s="1146"/>
      <c r="I58" s="1146"/>
      <c r="J58" s="1146"/>
      <c r="K58" s="1146"/>
      <c r="L58" s="1146"/>
      <c r="M58" s="1146"/>
      <c r="N58" s="830"/>
      <c r="O58" s="828"/>
      <c r="P58" s="1124"/>
    </row>
    <row r="59" spans="1:16" s="829" customFormat="1" ht="13.2" hidden="1">
      <c r="A59" s="841" t="s">
        <v>81</v>
      </c>
      <c r="B59" s="1146"/>
      <c r="C59" s="1146">
        <v>46</v>
      </c>
      <c r="D59" s="1146"/>
      <c r="E59" s="1146"/>
      <c r="F59" s="1146"/>
      <c r="G59" s="1146"/>
      <c r="H59" s="1146"/>
      <c r="I59" s="1146"/>
      <c r="J59" s="1146"/>
      <c r="K59" s="1146"/>
      <c r="L59" s="1146"/>
      <c r="M59" s="1146"/>
      <c r="N59" s="830"/>
      <c r="O59" s="828"/>
      <c r="P59" s="1124"/>
    </row>
    <row r="60" spans="1:16" s="829" customFormat="1" ht="13.2" hidden="1">
      <c r="A60" s="841" t="s">
        <v>82</v>
      </c>
      <c r="B60" s="1146"/>
      <c r="C60" s="1146"/>
      <c r="D60" s="1146">
        <v>60</v>
      </c>
      <c r="E60" s="1146"/>
      <c r="F60" s="1146"/>
      <c r="G60" s="1146"/>
      <c r="H60" s="1146"/>
      <c r="I60" s="1146"/>
      <c r="J60" s="1146"/>
      <c r="K60" s="1146"/>
      <c r="L60" s="1146"/>
      <c r="M60" s="1146"/>
      <c r="N60" s="830"/>
      <c r="O60" s="828"/>
      <c r="P60" s="1124"/>
    </row>
    <row r="61" spans="1:16" s="829" customFormat="1" ht="13.2" hidden="1">
      <c r="A61" s="846" t="s">
        <v>83</v>
      </c>
      <c r="B61" s="1147"/>
      <c r="C61" s="1147"/>
      <c r="D61" s="1147"/>
      <c r="E61" s="1147"/>
      <c r="F61" s="1147"/>
      <c r="G61" s="1147"/>
      <c r="H61" s="1147"/>
      <c r="I61" s="1147"/>
      <c r="J61" s="1147"/>
      <c r="K61" s="1147"/>
      <c r="L61" s="1147"/>
      <c r="M61" s="1147"/>
      <c r="N61" s="830"/>
      <c r="O61" s="828"/>
      <c r="P61" s="1124"/>
    </row>
    <row r="62" spans="1:16" s="829" customFormat="1" ht="13.2" hidden="1">
      <c r="A62" s="846" t="s">
        <v>11</v>
      </c>
      <c r="B62" s="1147"/>
      <c r="C62" s="1147"/>
      <c r="D62" s="1147"/>
      <c r="E62" s="1147"/>
      <c r="F62" s="1147"/>
      <c r="G62" s="1147"/>
      <c r="H62" s="1147"/>
      <c r="I62" s="1147"/>
      <c r="J62" s="1147"/>
      <c r="K62" s="1147"/>
      <c r="L62" s="1147"/>
      <c r="M62" s="1147"/>
      <c r="N62" s="830"/>
      <c r="O62" s="828"/>
      <c r="P62" s="1124"/>
    </row>
    <row r="63" spans="1:16" s="829" customFormat="1" ht="13.2" hidden="1">
      <c r="A63" s="846" t="s">
        <v>12</v>
      </c>
      <c r="B63" s="1147"/>
      <c r="C63" s="1147"/>
      <c r="D63" s="1147"/>
      <c r="E63" s="1147"/>
      <c r="F63" s="1147"/>
      <c r="G63" s="1147"/>
      <c r="H63" s="1147"/>
      <c r="I63" s="1147"/>
      <c r="J63" s="1147"/>
      <c r="K63" s="1147"/>
      <c r="L63" s="1147"/>
      <c r="M63" s="1147"/>
      <c r="N63" s="830"/>
      <c r="O63" s="828"/>
      <c r="P63" s="1124"/>
    </row>
    <row r="64" spans="1:16" s="829" customFormat="1" ht="13.2" hidden="1">
      <c r="A64" s="851" t="s">
        <v>13</v>
      </c>
      <c r="B64" s="1148"/>
      <c r="C64" s="1148"/>
      <c r="D64" s="1148">
        <v>48</v>
      </c>
      <c r="E64" s="1148"/>
      <c r="F64" s="1148"/>
      <c r="G64" s="1148"/>
      <c r="H64" s="1148"/>
      <c r="I64" s="1148"/>
      <c r="J64" s="1148"/>
      <c r="K64" s="1148"/>
      <c r="L64" s="1148"/>
      <c r="M64" s="1148"/>
      <c r="N64" s="830"/>
      <c r="O64" s="828"/>
      <c r="P64" s="1124"/>
    </row>
    <row r="65" spans="1:16" s="829" customFormat="1" ht="13.2" hidden="1">
      <c r="A65" s="855" t="s">
        <v>14</v>
      </c>
      <c r="B65" s="1149"/>
      <c r="C65" s="1149"/>
      <c r="D65" s="1149"/>
      <c r="E65" s="1149"/>
      <c r="F65" s="1149"/>
      <c r="G65" s="1149"/>
      <c r="H65" s="1149"/>
      <c r="I65" s="1149"/>
      <c r="J65" s="1149"/>
      <c r="K65" s="1149"/>
      <c r="L65" s="1149"/>
      <c r="M65" s="1149"/>
      <c r="N65" s="830"/>
      <c r="O65" s="828"/>
      <c r="P65" s="1124"/>
    </row>
    <row r="66" spans="1:16" s="829" customFormat="1" ht="13.2" hidden="1">
      <c r="A66" s="858" t="s">
        <v>38</v>
      </c>
      <c r="B66" s="1150"/>
      <c r="C66" s="1150"/>
      <c r="D66" s="1150"/>
      <c r="E66" s="1150"/>
      <c r="F66" s="1150"/>
      <c r="G66" s="1150"/>
      <c r="H66" s="1150"/>
      <c r="I66" s="1150"/>
      <c r="J66" s="1150"/>
      <c r="K66" s="1150"/>
      <c r="L66" s="1150"/>
      <c r="M66" s="1150"/>
      <c r="N66" s="859"/>
      <c r="O66" s="860"/>
      <c r="P66" s="1125"/>
    </row>
    <row r="67" spans="1:16" s="829" customFormat="1" ht="13.2" hidden="1"/>
    <row r="68" spans="1:16" s="829" customFormat="1" ht="13.2" hidden="1"/>
    <row r="69" spans="1:16" s="829" customFormat="1" ht="13.2" hidden="1"/>
    <row r="70" spans="1:16" s="829" customFormat="1" ht="13.2" hidden="1"/>
    <row r="71" spans="1:16" s="829" customFormat="1" ht="25.5" hidden="1" customHeight="1">
      <c r="A71" s="861"/>
      <c r="B71" s="862" t="str">
        <f t="shared" ref="B71:M71" si="3">IF(B5="","",B5)</f>
        <v>Urea</v>
      </c>
      <c r="C71" s="862" t="str">
        <f t="shared" si="3"/>
        <v>DAP</v>
      </c>
      <c r="D71" s="862" t="str">
        <f t="shared" si="3"/>
        <v>MOP</v>
      </c>
      <c r="E71" s="862" t="str">
        <f t="shared" si="3"/>
        <v>Filler</v>
      </c>
      <c r="F71" s="862" t="str">
        <f t="shared" si="3"/>
        <v/>
      </c>
      <c r="G71" s="862" t="str">
        <f t="shared" si="3"/>
        <v/>
      </c>
      <c r="H71" s="862" t="str">
        <f t="shared" si="3"/>
        <v/>
      </c>
      <c r="I71" s="862" t="str">
        <f t="shared" si="3"/>
        <v/>
      </c>
      <c r="J71" s="862" t="str">
        <f t="shared" si="3"/>
        <v/>
      </c>
      <c r="K71" s="862" t="str">
        <f t="shared" si="3"/>
        <v/>
      </c>
      <c r="L71" s="862" t="str">
        <f t="shared" si="3"/>
        <v/>
      </c>
      <c r="M71" s="862" t="str">
        <f t="shared" si="3"/>
        <v/>
      </c>
      <c r="N71" s="863"/>
      <c r="O71" s="864"/>
      <c r="P71" s="1111">
        <v>0</v>
      </c>
    </row>
    <row r="72" spans="1:16" s="829" customFormat="1" ht="13.2" hidden="1">
      <c r="A72" s="831"/>
      <c r="B72" s="1131">
        <v>0.19848771266540643</v>
      </c>
      <c r="C72" s="1131">
        <v>0.32608695652173914</v>
      </c>
      <c r="D72" s="1131">
        <v>0.25</v>
      </c>
      <c r="E72" s="1131">
        <v>0.22542533081285443</v>
      </c>
      <c r="F72" s="1131">
        <v>0</v>
      </c>
      <c r="G72" s="1131">
        <v>0</v>
      </c>
      <c r="H72" s="1131">
        <v>0</v>
      </c>
      <c r="I72" s="1131">
        <v>0</v>
      </c>
      <c r="J72" s="1131">
        <v>0</v>
      </c>
      <c r="K72" s="1131">
        <v>0</v>
      </c>
      <c r="L72" s="1131">
        <v>0</v>
      </c>
      <c r="M72" s="1131">
        <v>0</v>
      </c>
      <c r="N72" s="832"/>
      <c r="O72" s="833"/>
      <c r="P72" s="834">
        <f>SUM(B72:M72)</f>
        <v>1</v>
      </c>
    </row>
    <row r="73" spans="1:16" s="829" customFormat="1" ht="13.2" hidden="1">
      <c r="A73" s="831"/>
      <c r="B73" s="835">
        <f t="shared" ref="B73:M73" si="4">IF(B6="","",B6)</f>
        <v>250</v>
      </c>
      <c r="C73" s="835">
        <f t="shared" si="4"/>
        <v>430</v>
      </c>
      <c r="D73" s="835">
        <f t="shared" si="4"/>
        <v>270</v>
      </c>
      <c r="E73" s="835" t="str">
        <f t="shared" si="4"/>
        <v/>
      </c>
      <c r="F73" s="835" t="str">
        <f t="shared" si="4"/>
        <v/>
      </c>
      <c r="G73" s="835" t="str">
        <f t="shared" si="4"/>
        <v/>
      </c>
      <c r="H73" s="835" t="str">
        <f t="shared" si="4"/>
        <v/>
      </c>
      <c r="I73" s="835" t="str">
        <f t="shared" si="4"/>
        <v/>
      </c>
      <c r="J73" s="835" t="str">
        <f t="shared" si="4"/>
        <v/>
      </c>
      <c r="K73" s="835" t="str">
        <f t="shared" si="4"/>
        <v/>
      </c>
      <c r="L73" s="835" t="str">
        <f t="shared" si="4"/>
        <v/>
      </c>
      <c r="M73" s="835" t="str">
        <f t="shared" si="4"/>
        <v/>
      </c>
      <c r="N73" s="832"/>
      <c r="O73" s="833"/>
      <c r="P73" s="836">
        <f>SUMPRODUCT(B72:M72,B73:M73)</f>
        <v>257.33931947069948</v>
      </c>
    </row>
    <row r="74" spans="1:16" s="829" customFormat="1" ht="13.2" hidden="1">
      <c r="A74" s="831"/>
      <c r="B74" s="837">
        <f>IF(B71="","",1)</f>
        <v>1</v>
      </c>
      <c r="C74" s="837">
        <f t="shared" ref="C74:M74" si="5">IF(C71="","",1)</f>
        <v>1</v>
      </c>
      <c r="D74" s="837">
        <f t="shared" si="5"/>
        <v>1</v>
      </c>
      <c r="E74" s="837">
        <f t="shared" si="5"/>
        <v>1</v>
      </c>
      <c r="F74" s="837" t="str">
        <f t="shared" si="5"/>
        <v/>
      </c>
      <c r="G74" s="837" t="str">
        <f t="shared" si="5"/>
        <v/>
      </c>
      <c r="H74" s="837" t="str">
        <f t="shared" si="5"/>
        <v/>
      </c>
      <c r="I74" s="837" t="str">
        <f t="shared" si="5"/>
        <v/>
      </c>
      <c r="J74" s="837" t="str">
        <f t="shared" si="5"/>
        <v/>
      </c>
      <c r="K74" s="837" t="str">
        <f t="shared" si="5"/>
        <v/>
      </c>
      <c r="L74" s="837" t="str">
        <f t="shared" si="5"/>
        <v/>
      </c>
      <c r="M74" s="837" t="str">
        <f t="shared" si="5"/>
        <v/>
      </c>
      <c r="N74" s="838">
        <f t="shared" ref="N74:N83" si="6">SUMPRODUCT($B$72:$M$72,B74:M74)</f>
        <v>1</v>
      </c>
      <c r="O74" s="839" t="s">
        <v>39</v>
      </c>
      <c r="P74" s="840">
        <v>1</v>
      </c>
    </row>
    <row r="75" spans="1:16" s="829" customFormat="1" ht="13.2" hidden="1">
      <c r="A75" s="841" t="s">
        <v>80</v>
      </c>
      <c r="B75" s="842">
        <f>IFERROR(IF(IF(B58="",VLOOKUP(B$71,$A$90:$O$119,3,FALSE),B58)=0,"",IF(B58="",VLOOKUP(B$71,$A$90:$O$119,3,FALSE),B58)),"")</f>
        <v>46</v>
      </c>
      <c r="C75" s="842">
        <f t="shared" ref="C75:M75" si="7">IFERROR(IF(IF(C58="",VLOOKUP(C$71,$A$90:$O$119,3,FALSE),C58)=0,"",IF(C58="",VLOOKUP(C$71,$A$90:$O$119,3,FALSE),C58)),"")</f>
        <v>18</v>
      </c>
      <c r="D75" s="842" t="str">
        <f t="shared" si="7"/>
        <v/>
      </c>
      <c r="E75" s="842" t="str">
        <f t="shared" si="7"/>
        <v/>
      </c>
      <c r="F75" s="842" t="str">
        <f t="shared" si="7"/>
        <v/>
      </c>
      <c r="G75" s="842" t="str">
        <f t="shared" si="7"/>
        <v/>
      </c>
      <c r="H75" s="842" t="str">
        <f t="shared" si="7"/>
        <v/>
      </c>
      <c r="I75" s="842" t="str">
        <f t="shared" si="7"/>
        <v/>
      </c>
      <c r="J75" s="842" t="str">
        <f t="shared" si="7"/>
        <v/>
      </c>
      <c r="K75" s="842" t="str">
        <f t="shared" si="7"/>
        <v/>
      </c>
      <c r="L75" s="842" t="str">
        <f t="shared" si="7"/>
        <v/>
      </c>
      <c r="M75" s="842" t="str">
        <f t="shared" si="7"/>
        <v/>
      </c>
      <c r="N75" s="843">
        <f t="shared" si="6"/>
        <v>15</v>
      </c>
      <c r="O75" s="844" t="s">
        <v>39</v>
      </c>
      <c r="P75" s="845">
        <f>IF(B10="",0,B10)</f>
        <v>15</v>
      </c>
    </row>
    <row r="76" spans="1:16" s="829" customFormat="1" ht="13.2" hidden="1">
      <c r="A76" s="841" t="s">
        <v>81</v>
      </c>
      <c r="B76" s="842" t="str">
        <f>IFERROR(IF(IF(B59="",VLOOKUP(B$71,$A$90:$O$119,4,FALSE),B59)=0,"",IF(B59="",VLOOKUP(B$71,$A$90:$O$119,4,FALSE),B59)),"")</f>
        <v/>
      </c>
      <c r="C76" s="842">
        <f t="shared" ref="C76:M76" si="8">IFERROR(IF(IF(C59="",VLOOKUP(C$71,$A$90:$O$119,4,FALSE),C59)=0,"",IF(C59="",VLOOKUP(C$71,$A$90:$O$119,4,FALSE),C59)),"")</f>
        <v>46</v>
      </c>
      <c r="D76" s="842" t="str">
        <f t="shared" si="8"/>
        <v/>
      </c>
      <c r="E76" s="842" t="str">
        <f t="shared" si="8"/>
        <v/>
      </c>
      <c r="F76" s="842" t="str">
        <f t="shared" si="8"/>
        <v/>
      </c>
      <c r="G76" s="842" t="str">
        <f t="shared" si="8"/>
        <v/>
      </c>
      <c r="H76" s="842" t="str">
        <f t="shared" si="8"/>
        <v/>
      </c>
      <c r="I76" s="842" t="str">
        <f t="shared" si="8"/>
        <v/>
      </c>
      <c r="J76" s="842" t="str">
        <f t="shared" si="8"/>
        <v/>
      </c>
      <c r="K76" s="842" t="str">
        <f t="shared" si="8"/>
        <v/>
      </c>
      <c r="L76" s="842" t="str">
        <f t="shared" si="8"/>
        <v/>
      </c>
      <c r="M76" s="842" t="str">
        <f t="shared" si="8"/>
        <v/>
      </c>
      <c r="N76" s="843">
        <f t="shared" si="6"/>
        <v>15</v>
      </c>
      <c r="O76" s="844" t="s">
        <v>39</v>
      </c>
      <c r="P76" s="845">
        <f>IF(C10="",0,C10)</f>
        <v>15</v>
      </c>
    </row>
    <row r="77" spans="1:16" s="829" customFormat="1" ht="13.2" hidden="1">
      <c r="A77" s="841" t="s">
        <v>82</v>
      </c>
      <c r="B77" s="842" t="str">
        <f>IFERROR(IF(IF(B60="",VLOOKUP(B$71,$A$90:$O$119,5,FALSE),B60)=0,"",IF(B60="",VLOOKUP(B$71,$A$90:$O$119,5,FALSE),B60)),"")</f>
        <v/>
      </c>
      <c r="C77" s="842" t="str">
        <f t="shared" ref="C77:M77" si="9">IFERROR(IF(IF(C60="",VLOOKUP(C$71,$A$90:$O$119,5,FALSE),C60)=0,"",IF(C60="",VLOOKUP(C$71,$A$90:$O$119,5,FALSE),C60)),"")</f>
        <v/>
      </c>
      <c r="D77" s="842">
        <f t="shared" si="9"/>
        <v>60</v>
      </c>
      <c r="E77" s="842" t="str">
        <f t="shared" si="9"/>
        <v/>
      </c>
      <c r="F77" s="842" t="str">
        <f t="shared" si="9"/>
        <v/>
      </c>
      <c r="G77" s="842" t="str">
        <f t="shared" si="9"/>
        <v/>
      </c>
      <c r="H77" s="842" t="str">
        <f t="shared" si="9"/>
        <v/>
      </c>
      <c r="I77" s="842" t="str">
        <f t="shared" si="9"/>
        <v/>
      </c>
      <c r="J77" s="842" t="str">
        <f t="shared" si="9"/>
        <v/>
      </c>
      <c r="K77" s="842" t="str">
        <f t="shared" si="9"/>
        <v/>
      </c>
      <c r="L77" s="842" t="str">
        <f t="shared" si="9"/>
        <v/>
      </c>
      <c r="M77" s="842" t="str">
        <f t="shared" si="9"/>
        <v/>
      </c>
      <c r="N77" s="843">
        <f t="shared" si="6"/>
        <v>15</v>
      </c>
      <c r="O77" s="844" t="s">
        <v>39</v>
      </c>
      <c r="P77" s="845">
        <f>IF(D10="",0,D10)</f>
        <v>15</v>
      </c>
    </row>
    <row r="78" spans="1:16" s="829" customFormat="1" ht="13.2" hidden="1">
      <c r="A78" s="846" t="s">
        <v>83</v>
      </c>
      <c r="B78" s="847" t="str">
        <f>IFERROR(IF(IF(B61="",VLOOKUP(B$71,$A$90:$O$119,6,FALSE),B61)=0,"",IF(B61="",VLOOKUP(B$71,$A$90:$O$119,6,FALSE),B61)),"")</f>
        <v/>
      </c>
      <c r="C78" s="847" t="str">
        <f t="shared" ref="C78:M78" si="10">IFERROR(IF(IF(C61="",VLOOKUP(C$71,$A$90:$O$119,6,FALSE),C61)=0,"",IF(C61="",VLOOKUP(C$71,$A$90:$O$119,6,FALSE),C61)),"")</f>
        <v/>
      </c>
      <c r="D78" s="847" t="str">
        <f t="shared" si="10"/>
        <v/>
      </c>
      <c r="E78" s="847" t="str">
        <f t="shared" si="10"/>
        <v/>
      </c>
      <c r="F78" s="847" t="str">
        <f t="shared" si="10"/>
        <v/>
      </c>
      <c r="G78" s="847" t="str">
        <f t="shared" si="10"/>
        <v/>
      </c>
      <c r="H78" s="847" t="str">
        <f t="shared" si="10"/>
        <v/>
      </c>
      <c r="I78" s="847" t="str">
        <f t="shared" si="10"/>
        <v/>
      </c>
      <c r="J78" s="847" t="str">
        <f t="shared" si="10"/>
        <v/>
      </c>
      <c r="K78" s="847" t="str">
        <f t="shared" si="10"/>
        <v/>
      </c>
      <c r="L78" s="847" t="str">
        <f t="shared" si="10"/>
        <v/>
      </c>
      <c r="M78" s="847" t="str">
        <f t="shared" si="10"/>
        <v/>
      </c>
      <c r="N78" s="848">
        <f t="shared" si="6"/>
        <v>0</v>
      </c>
      <c r="O78" s="849" t="s">
        <v>40</v>
      </c>
      <c r="P78" s="850">
        <f>IF(E10="",0,E10)</f>
        <v>0</v>
      </c>
    </row>
    <row r="79" spans="1:16" s="829" customFormat="1" ht="13.2" hidden="1">
      <c r="A79" s="846" t="s">
        <v>11</v>
      </c>
      <c r="B79" s="847" t="str">
        <f>IFERROR(IF(IF(B62="",VLOOKUP(B$71,$A$90:$O$119,7,FALSE),B62)=0,"",IF(B62="",VLOOKUP(B$71,$A$90:$O$119,7,FALSE),B62)),"")</f>
        <v/>
      </c>
      <c r="C79" s="847" t="str">
        <f t="shared" ref="C79:M79" si="11">IFERROR(IF(IF(C62="",VLOOKUP(C$71,$A$90:$O$119,7,FALSE),C62)=0,"",IF(C62="",VLOOKUP(C$71,$A$90:$O$119,7,FALSE),C62)),"")</f>
        <v/>
      </c>
      <c r="D79" s="847" t="str">
        <f t="shared" si="11"/>
        <v/>
      </c>
      <c r="E79" s="847" t="str">
        <f t="shared" si="11"/>
        <v/>
      </c>
      <c r="F79" s="847" t="str">
        <f t="shared" si="11"/>
        <v/>
      </c>
      <c r="G79" s="847" t="str">
        <f t="shared" si="11"/>
        <v/>
      </c>
      <c r="H79" s="847" t="str">
        <f t="shared" si="11"/>
        <v/>
      </c>
      <c r="I79" s="847" t="str">
        <f t="shared" si="11"/>
        <v/>
      </c>
      <c r="J79" s="847" t="str">
        <f t="shared" si="11"/>
        <v/>
      </c>
      <c r="K79" s="847" t="str">
        <f t="shared" si="11"/>
        <v/>
      </c>
      <c r="L79" s="847" t="str">
        <f t="shared" si="11"/>
        <v/>
      </c>
      <c r="M79" s="847" t="str">
        <f t="shared" si="11"/>
        <v/>
      </c>
      <c r="N79" s="848">
        <f t="shared" si="6"/>
        <v>0</v>
      </c>
      <c r="O79" s="849" t="s">
        <v>40</v>
      </c>
      <c r="P79" s="850">
        <f>IF(F10="",0,F10)</f>
        <v>0</v>
      </c>
    </row>
    <row r="80" spans="1:16" s="829" customFormat="1" ht="13.2" hidden="1">
      <c r="A80" s="846" t="s">
        <v>12</v>
      </c>
      <c r="B80" s="847" t="str">
        <f>IFERROR(IF(IF(B63="",VLOOKUP(B$71,$A$90:$O$119,8,FALSE),B63)=0,"",IF(B63="",VLOOKUP(B$71,$A$90:$O$119,8,FALSE),B63)),"")</f>
        <v/>
      </c>
      <c r="C80" s="847" t="str">
        <f t="shared" ref="C80:M80" si="12">IFERROR(IF(IF(C63="",VLOOKUP(C$71,$A$90:$O$119,8,FALSE),C63)=0,"",IF(C63="",VLOOKUP(C$71,$A$90:$O$119,8,FALSE),C63)),"")</f>
        <v/>
      </c>
      <c r="D80" s="847" t="str">
        <f t="shared" si="12"/>
        <v/>
      </c>
      <c r="E80" s="847" t="str">
        <f t="shared" si="12"/>
        <v/>
      </c>
      <c r="F80" s="847" t="str">
        <f t="shared" si="12"/>
        <v/>
      </c>
      <c r="G80" s="847" t="str">
        <f t="shared" si="12"/>
        <v/>
      </c>
      <c r="H80" s="847" t="str">
        <f t="shared" si="12"/>
        <v/>
      </c>
      <c r="I80" s="847" t="str">
        <f t="shared" si="12"/>
        <v/>
      </c>
      <c r="J80" s="847" t="str">
        <f t="shared" si="12"/>
        <v/>
      </c>
      <c r="K80" s="847" t="str">
        <f t="shared" si="12"/>
        <v/>
      </c>
      <c r="L80" s="847" t="str">
        <f t="shared" si="12"/>
        <v/>
      </c>
      <c r="M80" s="847" t="str">
        <f t="shared" si="12"/>
        <v/>
      </c>
      <c r="N80" s="848">
        <f t="shared" si="6"/>
        <v>0</v>
      </c>
      <c r="O80" s="849" t="s">
        <v>40</v>
      </c>
      <c r="P80" s="850">
        <f>IF(G10="",0,G10)</f>
        <v>0</v>
      </c>
    </row>
    <row r="81" spans="1:16" s="829" customFormat="1" ht="13.2" hidden="1">
      <c r="A81" s="851" t="s">
        <v>13</v>
      </c>
      <c r="B81" s="852" t="str">
        <f>IFERROR(IF(IF(B64="",VLOOKUP(B$71,$A$90:$O$119,9,FALSE),B64)=0,"",IF(B64="",VLOOKUP(B$71,$A$90:$O$119,9,FALSE),B64)),"")</f>
        <v/>
      </c>
      <c r="C81" s="852" t="str">
        <f t="shared" ref="C81:M81" si="13">IFERROR(IF(IF(C64="",VLOOKUP(C$71,$A$90:$O$119,9,FALSE),C64)=0,"",IF(C64="",VLOOKUP(C$71,$A$90:$O$119,9,FALSE),C64)),"")</f>
        <v/>
      </c>
      <c r="D81" s="852">
        <f t="shared" si="13"/>
        <v>48</v>
      </c>
      <c r="E81" s="852" t="str">
        <f t="shared" si="13"/>
        <v/>
      </c>
      <c r="F81" s="852" t="str">
        <f t="shared" si="13"/>
        <v/>
      </c>
      <c r="G81" s="852" t="str">
        <f t="shared" si="13"/>
        <v/>
      </c>
      <c r="H81" s="852" t="str">
        <f t="shared" si="13"/>
        <v/>
      </c>
      <c r="I81" s="852" t="str">
        <f t="shared" si="13"/>
        <v/>
      </c>
      <c r="J81" s="852" t="str">
        <f t="shared" si="13"/>
        <v/>
      </c>
      <c r="K81" s="852" t="str">
        <f t="shared" si="13"/>
        <v/>
      </c>
      <c r="L81" s="852" t="str">
        <f t="shared" si="13"/>
        <v/>
      </c>
      <c r="M81" s="852" t="str">
        <f t="shared" si="13"/>
        <v/>
      </c>
      <c r="N81" s="848">
        <f t="shared" si="6"/>
        <v>12</v>
      </c>
      <c r="O81" s="853" t="s">
        <v>40</v>
      </c>
      <c r="P81" s="854">
        <v>0</v>
      </c>
    </row>
    <row r="82" spans="1:16" s="829" customFormat="1" ht="13.2" hidden="1">
      <c r="A82" s="855" t="s">
        <v>14</v>
      </c>
      <c r="B82" s="842" t="str">
        <f>IFERROR(IF(IF(B65="",VLOOKUP(B$71,$A$90:$O$119,10,FALSE),B65)=0,"",IF(B65="",VLOOKUP(B$71,$A$90:$O$119,10,FALSE),B65)),"")</f>
        <v/>
      </c>
      <c r="C82" s="842" t="str">
        <f t="shared" ref="C82:M82" si="14">IFERROR(IF(IF(C65="",VLOOKUP(C$71,$A$90:$O$119,10,FALSE),C65)=0,"",IF(C65="",VLOOKUP(C$71,$A$90:$O$119,10,FALSE),C65)),"")</f>
        <v/>
      </c>
      <c r="D82" s="842" t="str">
        <f t="shared" si="14"/>
        <v/>
      </c>
      <c r="E82" s="842" t="str">
        <f t="shared" si="14"/>
        <v/>
      </c>
      <c r="F82" s="842" t="str">
        <f t="shared" si="14"/>
        <v/>
      </c>
      <c r="G82" s="842" t="str">
        <f t="shared" si="14"/>
        <v/>
      </c>
      <c r="H82" s="842" t="str">
        <f t="shared" si="14"/>
        <v/>
      </c>
      <c r="I82" s="842" t="str">
        <f t="shared" si="14"/>
        <v/>
      </c>
      <c r="J82" s="842" t="str">
        <f t="shared" si="14"/>
        <v/>
      </c>
      <c r="K82" s="842" t="str">
        <f t="shared" si="14"/>
        <v/>
      </c>
      <c r="L82" s="842" t="str">
        <f t="shared" si="14"/>
        <v/>
      </c>
      <c r="M82" s="842" t="str">
        <f t="shared" si="14"/>
        <v/>
      </c>
      <c r="N82" s="848">
        <f t="shared" si="6"/>
        <v>0</v>
      </c>
      <c r="O82" s="856" t="s">
        <v>40</v>
      </c>
      <c r="P82" s="857">
        <f>IF(H10="",0,H10)</f>
        <v>0</v>
      </c>
    </row>
    <row r="83" spans="1:16" s="829" customFormat="1" ht="13.2" hidden="1">
      <c r="A83" s="858" t="s">
        <v>38</v>
      </c>
      <c r="B83" s="842" t="str">
        <f>IFERROR(IF(IF(B66="",VLOOKUP(B$71,$A$90:$O$119,11,FALSE),B66)=0,"",IF(B66="",VLOOKUP(B$71,$A$90:$O$119,11,FALSE),B66)),"")</f>
        <v/>
      </c>
      <c r="C83" s="842" t="str">
        <f t="shared" ref="C83:M83" si="15">IFERROR(IF(IF(C66="",VLOOKUP(C$71,$A$90:$O$119,11,FALSE),C66)=0,"",IF(C66="",VLOOKUP(C$71,$A$90:$O$119,11,FALSE),C66)),"")</f>
        <v/>
      </c>
      <c r="D83" s="842" t="str">
        <f t="shared" si="15"/>
        <v/>
      </c>
      <c r="E83" s="842" t="str">
        <f t="shared" si="15"/>
        <v/>
      </c>
      <c r="F83" s="842" t="str">
        <f t="shared" si="15"/>
        <v/>
      </c>
      <c r="G83" s="842" t="str">
        <f t="shared" si="15"/>
        <v/>
      </c>
      <c r="H83" s="842" t="str">
        <f t="shared" si="15"/>
        <v/>
      </c>
      <c r="I83" s="842" t="str">
        <f t="shared" si="15"/>
        <v/>
      </c>
      <c r="J83" s="842" t="str">
        <f t="shared" si="15"/>
        <v/>
      </c>
      <c r="K83" s="842" t="str">
        <f t="shared" si="15"/>
        <v/>
      </c>
      <c r="L83" s="842" t="str">
        <f t="shared" si="15"/>
        <v/>
      </c>
      <c r="M83" s="842" t="str">
        <f t="shared" si="15"/>
        <v/>
      </c>
      <c r="N83" s="848">
        <f t="shared" si="6"/>
        <v>0</v>
      </c>
      <c r="O83" s="856" t="s">
        <v>40</v>
      </c>
      <c r="P83" s="857">
        <f>IF(I10="",0,I10)</f>
        <v>0</v>
      </c>
    </row>
    <row r="84" spans="1:16" s="829" customFormat="1" ht="13.2" hidden="1"/>
    <row r="85" spans="1:16" s="865" customFormat="1" ht="11.4" hidden="1"/>
    <row r="86" spans="1:16" s="829" customFormat="1" ht="13.2" hidden="1"/>
    <row r="87" spans="1:16" s="829" customFormat="1" ht="13.2" hidden="1"/>
    <row r="88" spans="1:16" s="869" customFormat="1" ht="13.2" hidden="1"/>
    <row r="89" spans="1:16" s="829" customFormat="1" ht="13.2" hidden="1">
      <c r="A89" s="869">
        <v>1</v>
      </c>
      <c r="B89" s="869">
        <v>2</v>
      </c>
      <c r="C89" s="869">
        <v>3</v>
      </c>
      <c r="D89" s="869">
        <v>4</v>
      </c>
      <c r="E89" s="869">
        <v>5</v>
      </c>
      <c r="F89" s="869">
        <v>6</v>
      </c>
      <c r="G89" s="869">
        <v>7</v>
      </c>
      <c r="H89" s="869">
        <v>8</v>
      </c>
      <c r="I89" s="869">
        <v>9</v>
      </c>
      <c r="J89" s="869">
        <v>10</v>
      </c>
      <c r="K89" s="869">
        <v>11</v>
      </c>
    </row>
    <row r="90" spans="1:16" s="829" customFormat="1" ht="13.2" hidden="1">
      <c r="A90" s="832" t="s">
        <v>77</v>
      </c>
      <c r="B90" s="831"/>
      <c r="C90" s="1126" t="s">
        <v>80</v>
      </c>
      <c r="D90" s="1126" t="s">
        <v>81</v>
      </c>
      <c r="E90" s="1126" t="s">
        <v>82</v>
      </c>
      <c r="F90" s="1126" t="s">
        <v>83</v>
      </c>
      <c r="G90" s="1126" t="s">
        <v>11</v>
      </c>
      <c r="H90" s="1126" t="s">
        <v>12</v>
      </c>
      <c r="I90" s="1126" t="s">
        <v>13</v>
      </c>
      <c r="J90" s="1126" t="s">
        <v>14</v>
      </c>
      <c r="K90" s="1126" t="s">
        <v>38</v>
      </c>
      <c r="L90" s="876" t="s">
        <v>41</v>
      </c>
      <c r="M90" s="870" t="s">
        <v>9</v>
      </c>
      <c r="N90" s="883" t="s">
        <v>101</v>
      </c>
      <c r="O90" s="833"/>
      <c r="P90" s="870"/>
    </row>
    <row r="91" spans="1:16" s="829" customFormat="1" ht="13.2" hidden="1">
      <c r="A91" s="867"/>
      <c r="B91" s="867"/>
      <c r="C91" s="871"/>
      <c r="D91" s="871"/>
      <c r="E91" s="872"/>
      <c r="F91" s="872"/>
      <c r="G91" s="872"/>
      <c r="H91" s="872"/>
      <c r="I91" s="872"/>
      <c r="J91" s="875"/>
      <c r="K91" s="875"/>
      <c r="L91" s="877"/>
      <c r="M91" s="879">
        <v>1</v>
      </c>
      <c r="N91" s="884">
        <v>76</v>
      </c>
      <c r="O91" s="868"/>
      <c r="P91" s="872"/>
    </row>
    <row r="92" spans="1:16" s="829" customFormat="1" ht="13.2" hidden="1">
      <c r="A92" s="867" t="s">
        <v>78</v>
      </c>
      <c r="B92" s="867">
        <v>1</v>
      </c>
      <c r="C92" s="871">
        <v>18</v>
      </c>
      <c r="D92" s="871">
        <v>46</v>
      </c>
      <c r="E92" s="873"/>
      <c r="F92" s="873"/>
      <c r="G92" s="873"/>
      <c r="H92" s="873"/>
      <c r="I92" s="873"/>
      <c r="J92" s="875"/>
      <c r="K92" s="875"/>
      <c r="L92" s="877"/>
      <c r="M92" s="880"/>
      <c r="N92" s="884">
        <v>29.2</v>
      </c>
      <c r="O92" s="868"/>
      <c r="P92" s="873"/>
    </row>
    <row r="93" spans="1:16" s="829" customFormat="1" ht="13.2" hidden="1">
      <c r="A93" s="867" t="s">
        <v>18</v>
      </c>
      <c r="B93" s="867">
        <v>1</v>
      </c>
      <c r="C93" s="871"/>
      <c r="D93" s="871"/>
      <c r="E93" s="873">
        <v>22.1</v>
      </c>
      <c r="F93" s="873">
        <v>22.5</v>
      </c>
      <c r="G93" s="873">
        <v>17.899999999999999</v>
      </c>
      <c r="H93" s="873"/>
      <c r="I93" s="873"/>
      <c r="J93" s="875"/>
      <c r="K93" s="875"/>
      <c r="L93" s="878"/>
      <c r="M93" s="880"/>
      <c r="N93" s="885">
        <v>80.400000000000006</v>
      </c>
      <c r="O93" s="886"/>
      <c r="P93" s="873"/>
    </row>
    <row r="94" spans="1:16" s="829" customFormat="1" ht="13.2" hidden="1">
      <c r="A94" s="867" t="s">
        <v>42</v>
      </c>
      <c r="B94" s="867">
        <v>1</v>
      </c>
      <c r="C94" s="871">
        <v>11</v>
      </c>
      <c r="D94" s="871">
        <v>52</v>
      </c>
      <c r="E94" s="871"/>
      <c r="F94" s="871"/>
      <c r="G94" s="871"/>
      <c r="H94" s="871"/>
      <c r="I94" s="871"/>
      <c r="J94" s="875"/>
      <c r="K94" s="875"/>
      <c r="L94" s="877"/>
      <c r="M94" s="880"/>
      <c r="N94" s="884">
        <v>26.7</v>
      </c>
      <c r="O94" s="868"/>
      <c r="P94" s="871"/>
    </row>
    <row r="95" spans="1:16" s="829" customFormat="1" ht="13.2" hidden="1">
      <c r="A95" s="867" t="s">
        <v>79</v>
      </c>
      <c r="B95" s="867">
        <v>1</v>
      </c>
      <c r="C95" s="871">
        <v>46</v>
      </c>
      <c r="D95" s="871"/>
      <c r="E95" s="871"/>
      <c r="F95" s="871"/>
      <c r="G95" s="871"/>
      <c r="H95" s="871"/>
      <c r="I95" s="871"/>
      <c r="J95" s="875"/>
      <c r="K95" s="875"/>
      <c r="L95" s="877"/>
      <c r="M95" s="880"/>
      <c r="N95" s="884">
        <v>74.400000000000006</v>
      </c>
      <c r="O95" s="868"/>
      <c r="P95" s="871"/>
    </row>
    <row r="96" spans="1:16" s="829" customFormat="1" ht="13.2" hidden="1">
      <c r="A96" s="867" t="s">
        <v>21</v>
      </c>
      <c r="B96" s="867">
        <v>1</v>
      </c>
      <c r="C96" s="871">
        <v>21</v>
      </c>
      <c r="D96" s="871"/>
      <c r="E96" s="871"/>
      <c r="F96" s="871">
        <v>24</v>
      </c>
      <c r="G96" s="871"/>
      <c r="H96" s="871"/>
      <c r="I96" s="871"/>
      <c r="J96" s="875"/>
      <c r="K96" s="875"/>
      <c r="L96" s="877"/>
      <c r="M96" s="880"/>
      <c r="N96" s="884">
        <v>88.3</v>
      </c>
      <c r="O96" s="868"/>
      <c r="P96" s="871"/>
    </row>
    <row r="97" spans="1:16" s="829" customFormat="1" ht="13.2" hidden="1">
      <c r="A97" s="867" t="s">
        <v>22</v>
      </c>
      <c r="B97" s="867">
        <v>1</v>
      </c>
      <c r="C97" s="871">
        <v>34</v>
      </c>
      <c r="D97" s="871"/>
      <c r="E97" s="871"/>
      <c r="F97" s="871"/>
      <c r="G97" s="871"/>
      <c r="H97" s="871"/>
      <c r="I97" s="871"/>
      <c r="J97" s="875"/>
      <c r="K97" s="875"/>
      <c r="L97" s="877"/>
      <c r="M97" s="880"/>
      <c r="N97" s="884">
        <v>104</v>
      </c>
      <c r="O97" s="868"/>
      <c r="P97" s="871"/>
    </row>
    <row r="98" spans="1:16" s="829" customFormat="1" ht="13.2" hidden="1">
      <c r="A98" s="867" t="s">
        <v>23</v>
      </c>
      <c r="B98" s="867">
        <v>1</v>
      </c>
      <c r="C98" s="871">
        <v>27</v>
      </c>
      <c r="D98" s="871"/>
      <c r="E98" s="871"/>
      <c r="F98" s="871"/>
      <c r="G98" s="871"/>
      <c r="H98" s="871">
        <v>22</v>
      </c>
      <c r="I98" s="871"/>
      <c r="J98" s="871"/>
      <c r="K98" s="871"/>
      <c r="L98" s="877"/>
      <c r="M98" s="880"/>
      <c r="N98" s="884"/>
      <c r="O98" s="868"/>
      <c r="P98" s="871"/>
    </row>
    <row r="99" spans="1:16" s="829" customFormat="1" ht="13.2" hidden="1">
      <c r="A99" s="867" t="s">
        <v>71</v>
      </c>
      <c r="B99" s="867">
        <v>1</v>
      </c>
      <c r="C99" s="871"/>
      <c r="D99" s="871"/>
      <c r="E99" s="871">
        <v>50</v>
      </c>
      <c r="F99" s="871">
        <v>18</v>
      </c>
      <c r="G99" s="871"/>
      <c r="H99" s="871"/>
      <c r="I99" s="871">
        <v>2</v>
      </c>
      <c r="J99" s="875"/>
      <c r="K99" s="875"/>
      <c r="L99" s="878"/>
      <c r="M99" s="880"/>
      <c r="N99" s="885">
        <v>97</v>
      </c>
      <c r="O99" s="868"/>
      <c r="P99" s="871"/>
    </row>
    <row r="100" spans="1:16" s="829" customFormat="1" ht="13.2" hidden="1">
      <c r="A100" s="867" t="s">
        <v>43</v>
      </c>
      <c r="B100" s="867">
        <v>1</v>
      </c>
      <c r="C100" s="871"/>
      <c r="D100" s="871"/>
      <c r="E100" s="871">
        <v>60</v>
      </c>
      <c r="F100" s="871"/>
      <c r="G100" s="871"/>
      <c r="H100" s="871"/>
      <c r="I100" s="871">
        <v>48</v>
      </c>
      <c r="J100" s="875"/>
      <c r="K100" s="875"/>
      <c r="L100" s="878"/>
      <c r="M100" s="881"/>
      <c r="N100" s="885">
        <v>129.5</v>
      </c>
      <c r="O100" s="868"/>
      <c r="P100" s="871"/>
    </row>
    <row r="101" spans="1:16" s="829" customFormat="1" ht="13.2" hidden="1">
      <c r="A101" s="867" t="s">
        <v>26</v>
      </c>
      <c r="B101" s="867">
        <v>1</v>
      </c>
      <c r="C101" s="871"/>
      <c r="D101" s="871"/>
      <c r="E101" s="874"/>
      <c r="F101" s="874">
        <v>22</v>
      </c>
      <c r="G101" s="874"/>
      <c r="H101" s="874">
        <v>33</v>
      </c>
      <c r="I101" s="874"/>
      <c r="J101" s="875"/>
      <c r="K101" s="875"/>
      <c r="L101" s="877"/>
      <c r="M101" s="880"/>
      <c r="N101" s="884">
        <v>8.1</v>
      </c>
      <c r="O101" s="868"/>
      <c r="P101" s="874"/>
    </row>
    <row r="102" spans="1:16" s="829" customFormat="1" ht="13.2" hidden="1">
      <c r="A102" s="867" t="s">
        <v>121</v>
      </c>
      <c r="B102" s="867">
        <v>1</v>
      </c>
      <c r="C102" s="871">
        <v>82</v>
      </c>
      <c r="D102" s="871"/>
      <c r="E102" s="871"/>
      <c r="F102" s="871"/>
      <c r="G102" s="871"/>
      <c r="H102" s="871"/>
      <c r="I102" s="871"/>
      <c r="J102" s="875"/>
      <c r="K102" s="875"/>
      <c r="L102" s="877"/>
      <c r="M102" s="882"/>
      <c r="N102" s="884">
        <v>47.1</v>
      </c>
      <c r="O102" s="868"/>
      <c r="P102" s="871"/>
    </row>
    <row r="103" spans="1:16" s="829" customFormat="1" ht="13.2" hidden="1">
      <c r="A103" s="867" t="s">
        <v>28</v>
      </c>
      <c r="B103" s="867">
        <v>1</v>
      </c>
      <c r="C103" s="871"/>
      <c r="D103" s="871">
        <v>46</v>
      </c>
      <c r="E103" s="871"/>
      <c r="F103" s="871"/>
      <c r="G103" s="871"/>
      <c r="H103" s="871">
        <v>20</v>
      </c>
      <c r="I103" s="871"/>
      <c r="J103" s="875"/>
      <c r="K103" s="875"/>
      <c r="L103" s="877"/>
      <c r="M103" s="880"/>
      <c r="N103" s="884">
        <v>10.119999999999999</v>
      </c>
      <c r="O103" s="868"/>
      <c r="P103" s="871"/>
    </row>
    <row r="104" spans="1:16" s="829" customFormat="1" ht="13.2" hidden="1">
      <c r="A104" s="867" t="s">
        <v>29</v>
      </c>
      <c r="B104" s="867">
        <v>1</v>
      </c>
      <c r="C104" s="871"/>
      <c r="D104" s="1118">
        <v>28</v>
      </c>
      <c r="E104" s="871"/>
      <c r="F104" s="871"/>
      <c r="G104" s="871"/>
      <c r="H104" s="871"/>
      <c r="I104" s="871"/>
      <c r="J104" s="875"/>
      <c r="K104" s="875"/>
      <c r="L104" s="877"/>
      <c r="M104" s="882"/>
      <c r="N104" s="884"/>
      <c r="O104" s="868"/>
      <c r="P104" s="871"/>
    </row>
    <row r="105" spans="1:16" s="829" customFormat="1" ht="13.2" hidden="1">
      <c r="A105" s="867" t="s">
        <v>30</v>
      </c>
      <c r="B105" s="867">
        <v>1</v>
      </c>
      <c r="C105" s="1119"/>
      <c r="D105" s="1119"/>
      <c r="E105" s="1119">
        <v>22</v>
      </c>
      <c r="F105" s="1119">
        <v>18</v>
      </c>
      <c r="G105" s="1119">
        <v>18</v>
      </c>
      <c r="H105" s="1119"/>
      <c r="I105" s="1119"/>
      <c r="J105" s="1120"/>
      <c r="K105" s="1120"/>
      <c r="L105" s="878"/>
      <c r="M105" s="882"/>
      <c r="N105" s="885">
        <v>80.400000000000006</v>
      </c>
      <c r="O105" s="868"/>
      <c r="P105" s="1119"/>
    </row>
    <row r="106" spans="1:16" s="829" customFormat="1" ht="13.2" hidden="1">
      <c r="A106" s="867" t="s">
        <v>31</v>
      </c>
      <c r="B106" s="867">
        <v>1</v>
      </c>
      <c r="C106" s="871"/>
      <c r="D106" s="871"/>
      <c r="E106" s="871"/>
      <c r="F106" s="871">
        <v>20</v>
      </c>
      <c r="G106" s="871">
        <v>25</v>
      </c>
      <c r="H106" s="871"/>
      <c r="I106" s="871"/>
      <c r="J106" s="875"/>
      <c r="K106" s="875"/>
      <c r="L106" s="877"/>
      <c r="M106" s="880"/>
      <c r="N106" s="884">
        <v>44</v>
      </c>
      <c r="O106" s="868"/>
      <c r="P106" s="871"/>
    </row>
    <row r="107" spans="1:16" s="829" customFormat="1" ht="13.2" hidden="1">
      <c r="A107" s="867" t="s">
        <v>32</v>
      </c>
      <c r="B107" s="867">
        <v>1</v>
      </c>
      <c r="C107" s="871"/>
      <c r="D107" s="1121">
        <v>18</v>
      </c>
      <c r="E107" s="871"/>
      <c r="F107" s="871">
        <v>11</v>
      </c>
      <c r="G107" s="871"/>
      <c r="H107" s="871">
        <v>28</v>
      </c>
      <c r="I107" s="871"/>
      <c r="J107" s="875"/>
      <c r="K107" s="875"/>
      <c r="L107" s="877"/>
      <c r="M107" s="880"/>
      <c r="N107" s="884">
        <v>7.8</v>
      </c>
      <c r="O107" s="868"/>
      <c r="P107" s="871"/>
    </row>
    <row r="108" spans="1:16" s="829" customFormat="1" ht="13.2" hidden="1">
      <c r="A108" s="867" t="s">
        <v>219</v>
      </c>
      <c r="B108" s="867">
        <v>1</v>
      </c>
      <c r="C108" s="871">
        <v>26</v>
      </c>
      <c r="D108" s="871"/>
      <c r="E108" s="871"/>
      <c r="F108" s="871"/>
      <c r="G108" s="871"/>
      <c r="H108" s="871"/>
      <c r="I108" s="871">
        <v>66</v>
      </c>
      <c r="J108" s="875"/>
      <c r="K108" s="875"/>
      <c r="L108" s="877"/>
      <c r="M108" s="880"/>
      <c r="N108" s="884"/>
      <c r="O108" s="868"/>
      <c r="P108" s="871"/>
    </row>
    <row r="109" spans="1:16" s="829" customFormat="1" ht="13.2" hidden="1">
      <c r="A109" s="867" t="s">
        <v>34</v>
      </c>
      <c r="B109" s="867">
        <v>1</v>
      </c>
      <c r="C109" s="871">
        <v>13</v>
      </c>
      <c r="D109" s="871"/>
      <c r="E109" s="871">
        <v>44</v>
      </c>
      <c r="F109" s="871"/>
      <c r="G109" s="871"/>
      <c r="H109" s="871"/>
      <c r="I109" s="871"/>
      <c r="J109" s="875"/>
      <c r="K109" s="875"/>
      <c r="L109" s="877"/>
      <c r="M109" s="880"/>
      <c r="N109" s="884">
        <v>69.5</v>
      </c>
      <c r="O109" s="868"/>
      <c r="P109" s="871"/>
    </row>
    <row r="110" spans="1:16" s="829" customFormat="1" ht="13.2" hidden="1">
      <c r="A110" s="867" t="s">
        <v>35</v>
      </c>
      <c r="B110" s="867">
        <v>1</v>
      </c>
      <c r="C110" s="871"/>
      <c r="D110" s="871"/>
      <c r="E110" s="871"/>
      <c r="F110" s="871"/>
      <c r="G110" s="871">
        <v>21.58</v>
      </c>
      <c r="H110" s="871">
        <v>30.799999999999997</v>
      </c>
      <c r="I110" s="871"/>
      <c r="J110" s="875"/>
      <c r="K110" s="875"/>
      <c r="L110" s="877"/>
      <c r="M110" s="880"/>
      <c r="N110" s="884">
        <v>0.8</v>
      </c>
      <c r="O110" s="868"/>
      <c r="P110" s="871"/>
    </row>
    <row r="111" spans="1:16" s="829" customFormat="1" ht="13.2" hidden="1">
      <c r="A111" s="867" t="s">
        <v>36</v>
      </c>
      <c r="B111" s="867">
        <v>1</v>
      </c>
      <c r="C111" s="871"/>
      <c r="D111" s="871"/>
      <c r="E111" s="871"/>
      <c r="F111" s="871"/>
      <c r="G111" s="871">
        <v>3</v>
      </c>
      <c r="H111" s="871">
        <v>52</v>
      </c>
      <c r="I111" s="871"/>
      <c r="J111" s="875"/>
      <c r="K111" s="875"/>
      <c r="L111" s="877"/>
      <c r="M111" s="880"/>
      <c r="N111" s="833"/>
      <c r="O111" s="868"/>
      <c r="P111" s="871"/>
    </row>
    <row r="112" spans="1:16" s="829" customFormat="1" ht="13.2" hidden="1">
      <c r="A112" s="867" t="s">
        <v>37</v>
      </c>
      <c r="B112" s="867">
        <v>1</v>
      </c>
      <c r="C112" s="871"/>
      <c r="D112" s="871"/>
      <c r="E112" s="871"/>
      <c r="F112" s="871"/>
      <c r="G112" s="871"/>
      <c r="H112" s="871"/>
      <c r="I112" s="871"/>
      <c r="J112" s="1122"/>
      <c r="K112" s="1122"/>
      <c r="L112" s="877"/>
      <c r="M112" s="880"/>
      <c r="N112" s="884"/>
      <c r="O112" s="868"/>
      <c r="P112" s="871"/>
    </row>
    <row r="113" spans="1:16" s="829" customFormat="1" ht="13.2" hidden="1">
      <c r="A113" s="867" t="s">
        <v>38</v>
      </c>
      <c r="B113" s="867">
        <v>1</v>
      </c>
      <c r="C113" s="871"/>
      <c r="D113" s="871"/>
      <c r="E113" s="871"/>
      <c r="F113" s="871"/>
      <c r="G113" s="871"/>
      <c r="H113" s="871"/>
      <c r="I113" s="871"/>
      <c r="J113" s="1122">
        <v>50</v>
      </c>
      <c r="K113" s="1122"/>
      <c r="L113" s="877"/>
      <c r="M113" s="880"/>
      <c r="N113" s="884"/>
      <c r="O113" s="868"/>
      <c r="P113" s="871"/>
    </row>
    <row r="114" spans="1:16" s="829" customFormat="1" ht="13.2" hidden="1">
      <c r="A114" s="867" t="s">
        <v>114</v>
      </c>
      <c r="B114" s="867">
        <v>1</v>
      </c>
      <c r="C114" s="871"/>
      <c r="D114" s="868">
        <v>54</v>
      </c>
      <c r="E114" s="871"/>
      <c r="F114" s="871"/>
      <c r="G114" s="871"/>
      <c r="H114" s="871"/>
      <c r="I114" s="871"/>
      <c r="J114" s="875"/>
      <c r="K114" s="875"/>
      <c r="L114" s="877"/>
      <c r="M114" s="880"/>
      <c r="N114" s="884"/>
      <c r="O114" s="868"/>
      <c r="P114" s="871"/>
    </row>
    <row r="115" spans="1:16" s="829" customFormat="1" ht="13.2" hidden="1">
      <c r="A115" s="868" t="s">
        <v>116</v>
      </c>
      <c r="B115" s="868">
        <v>1</v>
      </c>
      <c r="C115" s="868"/>
      <c r="D115" s="868">
        <v>28</v>
      </c>
      <c r="E115" s="868"/>
      <c r="F115" s="868"/>
      <c r="G115" s="868"/>
      <c r="H115" s="868"/>
      <c r="I115" s="868"/>
      <c r="J115" s="868"/>
      <c r="K115" s="868"/>
      <c r="L115" s="868"/>
      <c r="M115" s="868"/>
      <c r="N115" s="868"/>
      <c r="O115" s="868"/>
      <c r="P115" s="868"/>
    </row>
    <row r="116" spans="1:16" s="829" customFormat="1" ht="13.2" hidden="1">
      <c r="A116" s="833" t="s">
        <v>41</v>
      </c>
      <c r="B116" s="868">
        <v>1</v>
      </c>
      <c r="C116" s="868"/>
      <c r="D116" s="868"/>
      <c r="E116" s="868"/>
      <c r="F116" s="868"/>
      <c r="G116" s="868"/>
      <c r="H116" s="868"/>
      <c r="I116" s="868"/>
      <c r="J116" s="868"/>
      <c r="K116" s="868"/>
      <c r="L116" s="868"/>
      <c r="M116" s="868"/>
      <c r="N116" s="868"/>
      <c r="O116" s="868"/>
      <c r="P116" s="868"/>
    </row>
    <row r="117" spans="1:16" s="829" customFormat="1" ht="13.2" hidden="1">
      <c r="A117" s="833" t="s">
        <v>182</v>
      </c>
      <c r="B117" s="868">
        <v>1</v>
      </c>
      <c r="C117" s="868"/>
      <c r="D117" s="868"/>
      <c r="E117" s="868">
        <v>40</v>
      </c>
      <c r="F117" s="868">
        <v>4.8</v>
      </c>
      <c r="G117" s="868">
        <v>6</v>
      </c>
      <c r="H117" s="868"/>
      <c r="I117" s="868">
        <v>28.8</v>
      </c>
      <c r="J117" s="868"/>
      <c r="K117" s="868"/>
      <c r="L117" s="868"/>
      <c r="M117" s="868"/>
      <c r="N117" s="868"/>
      <c r="O117" s="868"/>
      <c r="P117" s="868"/>
    </row>
    <row r="118" spans="1:16" s="829" customFormat="1" ht="13.2" hidden="1">
      <c r="A118" s="833" t="s">
        <v>220</v>
      </c>
      <c r="B118" s="868">
        <v>1</v>
      </c>
      <c r="C118" s="868"/>
      <c r="D118" s="868"/>
      <c r="E118" s="868">
        <v>30</v>
      </c>
      <c r="F118" s="868">
        <v>16.8</v>
      </c>
      <c r="G118" s="868">
        <v>10</v>
      </c>
      <c r="H118" s="868"/>
      <c r="I118" s="868">
        <v>0.5</v>
      </c>
      <c r="J118" s="868"/>
      <c r="K118" s="868"/>
      <c r="L118" s="868"/>
      <c r="M118" s="868"/>
      <c r="N118" s="868"/>
      <c r="O118" s="868"/>
      <c r="P118" s="868"/>
    </row>
    <row r="119" spans="1:16" s="829" customFormat="1" ht="13.2" hidden="1">
      <c r="A119" s="833"/>
      <c r="B119" s="833"/>
      <c r="C119" s="868"/>
      <c r="D119" s="868"/>
      <c r="E119" s="868"/>
      <c r="F119" s="868"/>
      <c r="G119" s="868"/>
      <c r="H119" s="868"/>
      <c r="I119" s="868"/>
      <c r="J119" s="868"/>
      <c r="K119" s="868"/>
      <c r="L119" s="868"/>
      <c r="M119" s="868"/>
      <c r="N119" s="868"/>
      <c r="O119" s="868"/>
      <c r="P119" s="868"/>
    </row>
    <row r="120" spans="1:16" s="829" customFormat="1" ht="13.2" hidden="1"/>
    <row r="121" spans="1:16" s="829" customFormat="1" ht="13.2" hidden="1"/>
    <row r="122" spans="1:16" s="829" customFormat="1" ht="13.2" hidden="1"/>
    <row r="123" spans="1:16" s="829" customFormat="1" ht="13.2" hidden="1"/>
    <row r="124" spans="1:16" s="829" customFormat="1" ht="13.2" hidden="1"/>
    <row r="125" spans="1:16" s="829" customFormat="1" ht="13.2" hidden="1"/>
    <row r="126" spans="1:16" s="829" customFormat="1" ht="13.2" hidden="1"/>
    <row r="127" spans="1:16" s="829" customFormat="1" ht="13.2" hidden="1"/>
    <row r="128" spans="1:16" s="829" customFormat="1" ht="13.2" hidden="1"/>
    <row r="129" s="829" customFormat="1" ht="13.2" hidden="1"/>
    <row r="130" s="829" customFormat="1" ht="13.2" hidden="1"/>
    <row r="131" s="829" customFormat="1" ht="13.2" hidden="1"/>
    <row r="132" s="829" customFormat="1" ht="13.2" hidden="1"/>
    <row r="133" s="829" customFormat="1" ht="13.2" hidden="1"/>
    <row r="134" s="829" customFormat="1" ht="13.2" hidden="1"/>
    <row r="135" s="829" customFormat="1" ht="13.2" hidden="1"/>
    <row r="136" s="829" customFormat="1" ht="13.2" hidden="1"/>
    <row r="137" s="829" customFormat="1" ht="13.2" hidden="1"/>
    <row r="138" s="829" customFormat="1" ht="13.2" hidden="1"/>
    <row r="139" s="829" customFormat="1" ht="13.2" hidden="1"/>
    <row r="140" s="829" customFormat="1" ht="13.2" hidden="1"/>
    <row r="141" s="829" customFormat="1" ht="13.2" hidden="1"/>
    <row r="142" s="829" customFormat="1" ht="13.2" hidden="1"/>
    <row r="143" s="829" customFormat="1" ht="13.2" hidden="1"/>
    <row r="144" s="829" customFormat="1" ht="13.2" hidden="1"/>
    <row r="145" s="829" customFormat="1" ht="13.2" hidden="1"/>
    <row r="146" s="829" customFormat="1" ht="13.2" hidden="1"/>
    <row r="147" s="829" customFormat="1" ht="13.2" hidden="1"/>
    <row r="148" s="829" customFormat="1" ht="13.2" hidden="1"/>
    <row r="149" s="829" customFormat="1" ht="13.2" hidden="1"/>
    <row r="150" s="829" customFormat="1" ht="13.2" hidden="1"/>
    <row r="151" s="829" customFormat="1" ht="13.2" hidden="1"/>
    <row r="152" s="829" customFormat="1" ht="13.2" hidden="1"/>
    <row r="153" s="829" customFormat="1" ht="13.2" hidden="1"/>
    <row r="154" s="829" customFormat="1" ht="13.2" hidden="1"/>
    <row r="155" s="829" customFormat="1" ht="13.2" hidden="1"/>
    <row r="156" s="829" customFormat="1" ht="13.2" hidden="1"/>
    <row r="157" s="829" customFormat="1" ht="13.2" hidden="1"/>
    <row r="158" s="829" customFormat="1" ht="13.2" hidden="1"/>
    <row r="159" s="829" customFormat="1" ht="13.2" hidden="1"/>
    <row r="160" s="829" customFormat="1" ht="13.2" hidden="1"/>
    <row r="161" s="829" customFormat="1" ht="13.2" hidden="1"/>
    <row r="162" s="829" customFormat="1" ht="13.2" hidden="1"/>
    <row r="163" s="829" customFormat="1" ht="13.2" hidden="1"/>
    <row r="164" s="829" customFormat="1" ht="13.2" hidden="1"/>
    <row r="165" s="829" customFormat="1" ht="13.2" hidden="1"/>
    <row r="166" s="829" customFormat="1" ht="13.2" hidden="1"/>
    <row r="167" s="829" customFormat="1" ht="13.2" hidden="1"/>
    <row r="168" s="829" customFormat="1" ht="13.2" hidden="1"/>
    <row r="169" s="829" customFormat="1" ht="13.2" hidden="1"/>
    <row r="170" s="829" customFormat="1" ht="13.2" hidden="1"/>
    <row r="171" s="829" customFormat="1" ht="13.2" hidden="1"/>
    <row r="172" s="829" customFormat="1" ht="13.2" hidden="1"/>
    <row r="173" s="829" customFormat="1" ht="13.2" hidden="1"/>
    <row r="174" s="829" customFormat="1" ht="13.2" hidden="1"/>
    <row r="175" s="829" customFormat="1" ht="13.2" hidden="1"/>
    <row r="176" s="829" customFormat="1" ht="13.2" hidden="1"/>
    <row r="177" s="829" customFormat="1" ht="13.2" hidden="1"/>
    <row r="178" s="829" customFormat="1" ht="13.2" hidden="1"/>
    <row r="179" s="829" customFormat="1" ht="13.2" hidden="1"/>
    <row r="180" s="829" customFormat="1" ht="13.2" hidden="1"/>
    <row r="181" s="829" customFormat="1" ht="13.2" hidden="1"/>
    <row r="182" s="829" customFormat="1" ht="13.2" hidden="1"/>
    <row r="183" s="829" customFormat="1" ht="13.2" hidden="1"/>
    <row r="184" s="829" customFormat="1" ht="13.2" hidden="1"/>
    <row r="185" s="829" customFormat="1" ht="13.2" hidden="1"/>
    <row r="186" s="829" customFormat="1" ht="13.2" hidden="1"/>
    <row r="187" s="829" customFormat="1" ht="13.2" hidden="1"/>
    <row r="188" s="829" customFormat="1" ht="13.2" hidden="1"/>
    <row r="189" s="829" customFormat="1" ht="13.2" hidden="1"/>
    <row r="190" s="829" customFormat="1" ht="13.2" hidden="1"/>
    <row r="191" s="829" customFormat="1" ht="13.2" hidden="1"/>
    <row r="192" s="829" customFormat="1" ht="13.2" hidden="1"/>
    <row r="193" s="829" customFormat="1" ht="13.2" hidden="1"/>
    <row r="194" s="829" customFormat="1" ht="13.2" hidden="1"/>
    <row r="195" s="829" customFormat="1" ht="13.2" hidden="1"/>
    <row r="196" s="829" customFormat="1" ht="13.2" hidden="1"/>
    <row r="197" s="829" customFormat="1" ht="13.2" hidden="1"/>
    <row r="198" s="829" customFormat="1" ht="13.2" hidden="1"/>
    <row r="199" s="829" customFormat="1" ht="13.2" hidden="1"/>
    <row r="200" s="829" customFormat="1" ht="13.2"/>
    <row r="201" s="829" customFormat="1" ht="13.2"/>
    <row r="202" s="829" customFormat="1" ht="13.2"/>
    <row r="203" s="829" customFormat="1" ht="13.2"/>
    <row r="204" s="829" customFormat="1" ht="13.2"/>
    <row r="205" s="829" customFormat="1" ht="13.2"/>
    <row r="206" s="829" customFormat="1" ht="13.2"/>
    <row r="207" s="829" customFormat="1" ht="13.2"/>
    <row r="208" s="829" customFormat="1" ht="13.2"/>
    <row r="209" spans="31:34" s="829" customFormat="1" ht="13.2">
      <c r="AE209" s="828"/>
      <c r="AF209" s="828"/>
      <c r="AH209" s="866"/>
    </row>
    <row r="210" spans="31:34" s="829" customFormat="1" ht="13.2">
      <c r="AE210" s="828"/>
      <c r="AF210" s="828"/>
      <c r="AH210" s="866"/>
    </row>
    <row r="211" spans="31:34" s="829" customFormat="1" ht="13.2">
      <c r="AE211" s="828"/>
      <c r="AF211" s="828"/>
      <c r="AH211" s="866"/>
    </row>
    <row r="212" spans="31:34" s="829" customFormat="1" ht="13.2">
      <c r="AE212" s="828"/>
      <c r="AF212" s="828"/>
      <c r="AH212" s="866"/>
    </row>
    <row r="213" spans="31:34" s="829" customFormat="1" ht="13.2">
      <c r="AE213" s="828"/>
      <c r="AF213" s="828"/>
      <c r="AH213" s="866"/>
    </row>
    <row r="214" spans="31:34" s="829" customFormat="1" ht="13.2">
      <c r="AE214" s="828"/>
      <c r="AF214" s="828"/>
      <c r="AH214" s="866"/>
    </row>
    <row r="215" spans="31:34" s="829" customFormat="1" ht="13.2">
      <c r="AE215" s="828"/>
      <c r="AF215" s="828"/>
      <c r="AH215" s="866"/>
    </row>
    <row r="216" spans="31:34" s="829" customFormat="1" ht="13.2">
      <c r="AE216" s="828"/>
      <c r="AF216" s="828"/>
      <c r="AH216" s="866"/>
    </row>
    <row r="217" spans="31:34" s="829" customFormat="1" ht="13.2">
      <c r="AE217" s="828"/>
      <c r="AF217" s="828"/>
      <c r="AH217" s="866"/>
    </row>
    <row r="218" spans="31:34" s="829" customFormat="1" ht="13.2">
      <c r="AE218" s="828"/>
      <c r="AF218" s="828"/>
      <c r="AH218" s="866"/>
    </row>
    <row r="219" spans="31:34" s="829" customFormat="1" ht="13.2">
      <c r="AE219" s="828"/>
      <c r="AF219" s="828"/>
      <c r="AH219" s="866"/>
    </row>
    <row r="220" spans="31:34" s="829" customFormat="1" ht="13.2">
      <c r="AE220" s="828"/>
      <c r="AF220" s="828"/>
      <c r="AH220" s="866"/>
    </row>
    <row r="221" spans="31:34" s="829" customFormat="1" ht="13.2">
      <c r="AE221" s="828"/>
      <c r="AF221" s="828"/>
      <c r="AH221" s="866"/>
    </row>
    <row r="222" spans="31:34" s="829" customFormat="1" ht="13.2">
      <c r="AE222" s="828"/>
      <c r="AF222" s="828"/>
      <c r="AH222" s="866"/>
    </row>
    <row r="223" spans="31:34" s="829" customFormat="1" ht="13.2">
      <c r="AE223" s="828"/>
      <c r="AF223" s="828"/>
      <c r="AH223" s="866"/>
    </row>
    <row r="224" spans="31:34" s="829" customFormat="1" ht="13.2">
      <c r="AE224" s="828"/>
      <c r="AF224" s="828"/>
      <c r="AH224" s="866"/>
    </row>
    <row r="225" spans="31:34" s="829" customFormat="1" ht="13.2">
      <c r="AE225" s="828"/>
      <c r="AF225" s="828"/>
      <c r="AH225" s="866"/>
    </row>
    <row r="226" spans="31:34" s="829" customFormat="1" ht="13.2">
      <c r="AE226" s="828"/>
      <c r="AF226" s="828"/>
      <c r="AH226" s="866"/>
    </row>
    <row r="227" spans="31:34" s="829" customFormat="1" ht="13.2">
      <c r="AE227" s="828"/>
      <c r="AF227" s="828"/>
      <c r="AH227" s="866"/>
    </row>
    <row r="228" spans="31:34" s="829" customFormat="1" ht="13.2">
      <c r="AE228" s="828"/>
      <c r="AF228" s="828"/>
      <c r="AH228" s="866"/>
    </row>
    <row r="229" spans="31:34" s="829" customFormat="1" ht="13.2">
      <c r="AE229" s="828"/>
      <c r="AF229" s="828"/>
      <c r="AH229" s="866"/>
    </row>
    <row r="230" spans="31:34" s="829" customFormat="1" ht="13.2">
      <c r="AE230" s="828"/>
      <c r="AF230" s="828"/>
      <c r="AH230" s="866"/>
    </row>
    <row r="231" spans="31:34" s="829" customFormat="1" ht="13.2">
      <c r="AE231" s="828"/>
      <c r="AF231" s="828"/>
      <c r="AH231" s="866"/>
    </row>
    <row r="232" spans="31:34" s="829" customFormat="1" ht="13.2">
      <c r="AE232" s="828"/>
      <c r="AF232" s="828"/>
      <c r="AH232" s="866"/>
    </row>
    <row r="233" spans="31:34" s="829" customFormat="1" ht="13.2">
      <c r="AE233" s="828"/>
      <c r="AF233" s="828"/>
      <c r="AH233" s="866"/>
    </row>
    <row r="234" spans="31:34" s="829" customFormat="1" ht="13.2">
      <c r="AE234" s="828"/>
      <c r="AF234" s="828"/>
      <c r="AH234" s="866"/>
    </row>
    <row r="235" spans="31:34" s="829" customFormat="1" ht="13.2">
      <c r="AE235" s="828"/>
      <c r="AF235" s="828"/>
      <c r="AH235" s="866"/>
    </row>
    <row r="236" spans="31:34" s="829" customFormat="1" ht="13.2">
      <c r="AE236" s="828"/>
      <c r="AF236" s="828"/>
      <c r="AH236" s="866"/>
    </row>
    <row r="237" spans="31:34" s="829" customFormat="1" ht="13.2">
      <c r="AE237" s="828"/>
      <c r="AF237" s="828"/>
      <c r="AH237" s="866"/>
    </row>
    <row r="238" spans="31:34" s="829" customFormat="1" ht="13.2">
      <c r="AE238" s="828"/>
      <c r="AF238" s="828"/>
      <c r="AH238" s="866"/>
    </row>
    <row r="239" spans="31:34" s="829" customFormat="1" ht="13.2">
      <c r="AE239" s="828"/>
      <c r="AF239" s="828"/>
      <c r="AH239" s="866"/>
    </row>
    <row r="240" spans="31:34" s="829" customFormat="1" ht="13.2">
      <c r="AE240" s="828"/>
      <c r="AF240" s="828"/>
      <c r="AH240" s="866"/>
    </row>
    <row r="241" spans="31:34" s="829" customFormat="1" ht="13.2">
      <c r="AE241" s="828"/>
      <c r="AF241" s="828"/>
      <c r="AH241" s="866"/>
    </row>
    <row r="242" spans="31:34" s="829" customFormat="1" ht="13.2">
      <c r="AE242" s="828"/>
      <c r="AF242" s="828"/>
      <c r="AH242" s="866"/>
    </row>
  </sheetData>
  <sheetProtection algorithmName="SHA-512" hashValue="lK+b6JcJz7PambKfW+K2zP+78MjCbF/wKWkKQTYdPKwJCARFTeoPWoigOiqQuoDEJh2Lx5R/r8VdRsE2y8Hr5Q==" saltValue="0EgLHkx/aS4glNiQwm5Oew==" spinCount="100000" sheet="1" objects="1" scenarios="1" selectLockedCells="1"/>
  <conditionalFormatting sqref="B55:M55">
    <cfRule type="cellIs" dxfId="114" priority="79" operator="greaterThan">
      <formula>0</formula>
    </cfRule>
  </conditionalFormatting>
  <conditionalFormatting sqref="C10 C28">
    <cfRule type="cellIs" dxfId="113" priority="58" operator="lessThan">
      <formula>$C$10</formula>
    </cfRule>
  </conditionalFormatting>
  <conditionalFormatting sqref="B28">
    <cfRule type="cellIs" dxfId="112" priority="96" operator="lessThan">
      <formula>$B$10</formula>
    </cfRule>
  </conditionalFormatting>
  <conditionalFormatting sqref="D28">
    <cfRule type="cellIs" dxfId="111" priority="97" operator="lessThan">
      <formula>$D$10</formula>
    </cfRule>
  </conditionalFormatting>
  <conditionalFormatting sqref="B72:M72">
    <cfRule type="cellIs" dxfId="110" priority="1" operator="greaterThan">
      <formula>0</formula>
    </cfRule>
  </conditionalFormatting>
  <dataValidations count="2">
    <dataValidation type="list" allowBlank="1" showInputMessage="1" showErrorMessage="1" sqref="L13" xr:uid="{00000000-0002-0000-0000-000000000000}">
      <formula1>"Less Than, Equal To, Greater Than, No Limit"</formula1>
    </dataValidation>
    <dataValidation type="list" allowBlank="1" showInputMessage="1" showErrorMessage="1" sqref="F13 I13 C13" xr:uid="{1C4CF1B6-0E96-4B12-BF5A-3FD145CE45EC}">
      <formula1>"Less Than, Equal To, Greater Than"</formula1>
    </dataValidation>
  </dataValidations>
  <pageMargins left="0.25" right="0.25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AD47"/>
  <sheetViews>
    <sheetView showGridLines="0" zoomScale="80" zoomScaleNormal="80" workbookViewId="0">
      <selection activeCell="I60" sqref="I60"/>
    </sheetView>
  </sheetViews>
  <sheetFormatPr defaultColWidth="11.109375" defaultRowHeight="13.8"/>
  <cols>
    <col min="1" max="1" width="3.33203125" style="442" customWidth="1"/>
    <col min="2" max="10" width="13.5546875" style="442" customWidth="1"/>
    <col min="11" max="11" width="2.5546875" style="442" customWidth="1"/>
    <col min="12" max="12" width="18.88671875" style="442" bestFit="1" customWidth="1"/>
    <col min="13" max="13" width="13" style="442" bestFit="1" customWidth="1"/>
    <col min="14" max="14" width="2.44140625" style="442" customWidth="1"/>
    <col min="15" max="30" width="9.44140625" style="442" customWidth="1"/>
    <col min="31" max="16384" width="11.109375" style="442"/>
  </cols>
  <sheetData>
    <row r="1" spans="2:30" ht="18" customHeight="1" thickTop="1" thickBot="1">
      <c r="B1" s="439" t="s">
        <v>65</v>
      </c>
      <c r="C1" s="440"/>
      <c r="D1" s="440"/>
      <c r="E1" s="440"/>
      <c r="F1" s="440"/>
      <c r="G1" s="440"/>
      <c r="H1" s="440"/>
      <c r="I1" s="440"/>
      <c r="J1" s="440"/>
      <c r="K1" s="440"/>
      <c r="L1" s="440"/>
      <c r="M1" s="440"/>
      <c r="N1" s="440"/>
      <c r="O1" s="440"/>
      <c r="P1" s="440"/>
      <c r="Q1" s="440"/>
      <c r="R1" s="440"/>
      <c r="S1" s="440"/>
      <c r="T1" s="440"/>
      <c r="U1" s="440"/>
      <c r="V1" s="440"/>
      <c r="W1" s="440"/>
      <c r="X1" s="440"/>
      <c r="Y1" s="440"/>
      <c r="Z1" s="440"/>
      <c r="AA1" s="440"/>
      <c r="AB1" s="440"/>
      <c r="AC1" s="440"/>
      <c r="AD1" s="441"/>
    </row>
    <row r="2" spans="2:30" ht="18.75" customHeight="1" thickBot="1">
      <c r="B2" s="443" t="s">
        <v>103</v>
      </c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420"/>
      <c r="W2" s="420"/>
      <c r="X2" s="420"/>
      <c r="Y2" s="420"/>
      <c r="Z2" s="420"/>
      <c r="AA2" s="420"/>
      <c r="AB2" s="420"/>
      <c r="AC2" s="420"/>
      <c r="AD2" s="444"/>
    </row>
    <row r="3" spans="2:30" ht="21" customHeight="1" thickTop="1" thickBot="1">
      <c r="B3" s="445" t="s">
        <v>99</v>
      </c>
      <c r="C3" s="446"/>
      <c r="D3" s="447"/>
      <c r="E3" s="448"/>
      <c r="F3" s="449" t="s">
        <v>111</v>
      </c>
      <c r="G3" s="450"/>
      <c r="H3" s="450"/>
      <c r="I3" s="450"/>
      <c r="J3" s="451"/>
      <c r="K3" s="452"/>
      <c r="L3" s="453" t="s">
        <v>72</v>
      </c>
      <c r="M3" s="454" t="s">
        <v>73</v>
      </c>
      <c r="N3" s="455"/>
      <c r="O3" s="456" t="s">
        <v>112</v>
      </c>
      <c r="P3" s="457"/>
      <c r="Q3" s="457"/>
      <c r="R3" s="457"/>
      <c r="S3" s="457"/>
      <c r="T3" s="457"/>
      <c r="U3" s="457"/>
      <c r="V3" s="457"/>
      <c r="W3" s="457"/>
      <c r="X3" s="457"/>
      <c r="Y3" s="457"/>
      <c r="Z3" s="457"/>
      <c r="AA3" s="457"/>
      <c r="AB3" s="457"/>
      <c r="AC3" s="457"/>
      <c r="AD3" s="458"/>
    </row>
    <row r="4" spans="2:30" ht="18" customHeight="1" thickBot="1">
      <c r="B4" s="459"/>
      <c r="C4" s="460"/>
      <c r="D4" s="460"/>
      <c r="E4" s="460"/>
      <c r="F4" s="460"/>
      <c r="G4" s="460"/>
      <c r="H4" s="460"/>
      <c r="I4" s="460"/>
      <c r="J4" s="461"/>
      <c r="K4" s="420"/>
      <c r="L4" s="462" t="s">
        <v>9</v>
      </c>
      <c r="M4" s="463">
        <v>200</v>
      </c>
      <c r="N4" s="464"/>
      <c r="O4" s="465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  <c r="AD4" s="467"/>
    </row>
    <row r="5" spans="2:30" ht="18" customHeight="1" thickTop="1" thickBot="1">
      <c r="B5" s="468" t="s">
        <v>80</v>
      </c>
      <c r="C5" s="469" t="s">
        <v>81</v>
      </c>
      <c r="D5" s="469" t="s">
        <v>82</v>
      </c>
      <c r="E5" s="469" t="s">
        <v>83</v>
      </c>
      <c r="F5" s="469" t="s">
        <v>11</v>
      </c>
      <c r="G5" s="469" t="s">
        <v>12</v>
      </c>
      <c r="H5" s="469" t="s">
        <v>14</v>
      </c>
      <c r="I5" s="469" t="s">
        <v>38</v>
      </c>
      <c r="J5" s="470" t="s">
        <v>13</v>
      </c>
      <c r="K5" s="420"/>
      <c r="L5" s="462" t="s">
        <v>78</v>
      </c>
      <c r="M5" s="463">
        <v>413</v>
      </c>
      <c r="N5" s="464"/>
      <c r="O5" s="465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7"/>
    </row>
    <row r="6" spans="2:30" ht="18" customHeight="1" thickBot="1">
      <c r="B6" s="471">
        <v>18</v>
      </c>
      <c r="C6" s="472">
        <v>6</v>
      </c>
      <c r="D6" s="472">
        <v>18</v>
      </c>
      <c r="E6" s="472"/>
      <c r="F6" s="472"/>
      <c r="G6" s="472"/>
      <c r="H6" s="472"/>
      <c r="I6" s="472"/>
      <c r="J6" s="473"/>
      <c r="K6" s="420"/>
      <c r="L6" s="462" t="s">
        <v>18</v>
      </c>
      <c r="M6" s="463"/>
      <c r="N6" s="464"/>
      <c r="O6" s="465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7"/>
    </row>
    <row r="7" spans="2:30" ht="18" customHeight="1" thickBot="1">
      <c r="B7" s="474"/>
      <c r="C7" s="475"/>
      <c r="D7" s="475"/>
      <c r="E7" s="475"/>
      <c r="F7" s="475"/>
      <c r="G7" s="475"/>
      <c r="H7" s="475"/>
      <c r="I7" s="475"/>
      <c r="J7" s="476"/>
      <c r="K7" s="420"/>
      <c r="L7" s="462" t="s">
        <v>42</v>
      </c>
      <c r="M7" s="463">
        <v>396</v>
      </c>
      <c r="N7" s="464"/>
      <c r="O7" s="465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466"/>
      <c r="AD7" s="467"/>
    </row>
    <row r="8" spans="2:30" ht="18" customHeight="1" thickBot="1">
      <c r="B8" s="477" t="s">
        <v>0</v>
      </c>
      <c r="C8" s="478" t="s">
        <v>1</v>
      </c>
      <c r="D8" s="478" t="s">
        <v>2</v>
      </c>
      <c r="E8" s="478" t="s">
        <v>3</v>
      </c>
      <c r="F8" s="478" t="s">
        <v>4</v>
      </c>
      <c r="G8" s="478" t="s">
        <v>5</v>
      </c>
      <c r="H8" s="478" t="s">
        <v>6</v>
      </c>
      <c r="I8" s="478" t="s">
        <v>7</v>
      </c>
      <c r="J8" s="479" t="s">
        <v>8</v>
      </c>
      <c r="K8" s="420"/>
      <c r="L8" s="462" t="s">
        <v>79</v>
      </c>
      <c r="M8" s="463">
        <v>187.363</v>
      </c>
      <c r="N8" s="464"/>
      <c r="O8" s="465"/>
      <c r="P8" s="466"/>
      <c r="Q8" s="466"/>
      <c r="R8" s="466"/>
      <c r="S8" s="466"/>
      <c r="T8" s="466"/>
      <c r="U8" s="466"/>
      <c r="V8" s="466"/>
      <c r="W8" s="466"/>
      <c r="X8" s="466"/>
      <c r="Y8" s="466"/>
      <c r="Z8" s="466"/>
      <c r="AA8" s="466"/>
      <c r="AB8" s="466"/>
      <c r="AC8" s="466"/>
      <c r="AD8" s="467"/>
    </row>
    <row r="9" spans="2:30" ht="18" customHeight="1" thickBot="1">
      <c r="B9" s="480" t="s">
        <v>79</v>
      </c>
      <c r="C9" s="481" t="s">
        <v>78</v>
      </c>
      <c r="D9" s="481" t="s">
        <v>43</v>
      </c>
      <c r="E9" s="481"/>
      <c r="F9" s="481"/>
      <c r="G9" s="481"/>
      <c r="H9" s="481"/>
      <c r="I9" s="481"/>
      <c r="J9" s="482"/>
      <c r="K9" s="420"/>
      <c r="L9" s="462" t="s">
        <v>21</v>
      </c>
      <c r="M9" s="463">
        <v>187.363</v>
      </c>
      <c r="N9" s="464"/>
      <c r="O9" s="465"/>
      <c r="P9" s="466"/>
      <c r="Q9" s="466"/>
      <c r="R9" s="466"/>
      <c r="S9" s="466"/>
      <c r="T9" s="466"/>
      <c r="U9" s="466"/>
      <c r="V9" s="466"/>
      <c r="W9" s="466"/>
      <c r="X9" s="466"/>
      <c r="Y9" s="466"/>
      <c r="Z9" s="466"/>
      <c r="AA9" s="466"/>
      <c r="AB9" s="466"/>
      <c r="AC9" s="466"/>
      <c r="AD9" s="467"/>
    </row>
    <row r="10" spans="2:30" ht="18" customHeight="1" thickBot="1">
      <c r="B10" s="483"/>
      <c r="C10" s="484"/>
      <c r="D10" s="484"/>
      <c r="E10" s="484"/>
      <c r="F10" s="485"/>
      <c r="G10" s="484"/>
      <c r="H10" s="484"/>
      <c r="I10" s="484"/>
      <c r="J10" s="486"/>
      <c r="K10" s="420"/>
      <c r="L10" s="462" t="s">
        <v>22</v>
      </c>
      <c r="M10" s="463">
        <v>189</v>
      </c>
      <c r="N10" s="464"/>
      <c r="O10" s="487" t="s">
        <v>93</v>
      </c>
      <c r="P10" s="437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A10" s="437"/>
      <c r="AB10" s="437"/>
      <c r="AC10" s="437"/>
      <c r="AD10" s="488"/>
    </row>
    <row r="11" spans="2:30" ht="18" customHeight="1" thickBot="1">
      <c r="B11" s="489">
        <v>0.34026465028355385</v>
      </c>
      <c r="C11" s="490">
        <v>0.13043478260869565</v>
      </c>
      <c r="D11" s="490">
        <v>0.3</v>
      </c>
      <c r="E11" s="490"/>
      <c r="F11" s="490"/>
      <c r="G11" s="490"/>
      <c r="H11" s="490"/>
      <c r="I11" s="490"/>
      <c r="J11" s="491"/>
      <c r="K11" s="420"/>
      <c r="L11" s="462" t="s">
        <v>23</v>
      </c>
      <c r="M11" s="463">
        <v>200</v>
      </c>
      <c r="N11" s="464"/>
      <c r="O11" s="465"/>
      <c r="P11" s="466"/>
      <c r="Q11" s="466"/>
      <c r="R11" s="466"/>
      <c r="S11" s="466"/>
      <c r="T11" s="466"/>
      <c r="U11" s="466"/>
      <c r="V11" s="466"/>
      <c r="W11" s="466"/>
      <c r="X11" s="466"/>
      <c r="Y11" s="466"/>
      <c r="Z11" s="466"/>
      <c r="AA11" s="466"/>
      <c r="AB11" s="466"/>
      <c r="AC11" s="466"/>
      <c r="AD11" s="467"/>
    </row>
    <row r="12" spans="2:30" ht="18" customHeight="1" thickTop="1" thickBot="1">
      <c r="B12" s="459"/>
      <c r="C12" s="460"/>
      <c r="D12" s="460"/>
      <c r="E12" s="460"/>
      <c r="F12" s="460"/>
      <c r="G12" s="460"/>
      <c r="H12" s="460"/>
      <c r="I12" s="460"/>
      <c r="J12" s="461"/>
      <c r="K12" s="420"/>
      <c r="L12" s="462" t="s">
        <v>71</v>
      </c>
      <c r="M12" s="463">
        <v>886.85299999999995</v>
      </c>
      <c r="N12" s="464"/>
      <c r="O12" s="492" t="s">
        <v>99</v>
      </c>
      <c r="P12" s="493"/>
      <c r="Q12" s="493"/>
      <c r="R12" s="494"/>
      <c r="S12" s="495" t="s">
        <v>115</v>
      </c>
      <c r="T12" s="493"/>
      <c r="U12" s="493"/>
      <c r="V12" s="493"/>
      <c r="W12" s="450"/>
      <c r="X12" s="450"/>
      <c r="Y12" s="450"/>
      <c r="Z12" s="493"/>
      <c r="AA12" s="493"/>
      <c r="AB12" s="493"/>
      <c r="AC12" s="493"/>
      <c r="AD12" s="496"/>
    </row>
    <row r="13" spans="2:30" ht="18" customHeight="1" thickBot="1">
      <c r="B13" s="497" t="s">
        <v>100</v>
      </c>
      <c r="C13" s="433"/>
      <c r="D13" s="433"/>
      <c r="E13" s="434"/>
      <c r="F13" s="498" t="s">
        <v>111</v>
      </c>
      <c r="G13" s="435"/>
      <c r="H13" s="435"/>
      <c r="I13" s="436"/>
      <c r="J13" s="499"/>
      <c r="K13" s="420"/>
      <c r="L13" s="462" t="s">
        <v>43</v>
      </c>
      <c r="M13" s="463">
        <v>240</v>
      </c>
      <c r="N13" s="464"/>
      <c r="O13" s="500"/>
      <c r="P13" s="423"/>
      <c r="Q13" s="424" t="s">
        <v>86</v>
      </c>
      <c r="R13" s="425"/>
      <c r="S13" s="426" t="s">
        <v>80</v>
      </c>
      <c r="T13" s="426" t="s">
        <v>81</v>
      </c>
      <c r="U13" s="426" t="s">
        <v>82</v>
      </c>
      <c r="V13" s="426" t="s">
        <v>83</v>
      </c>
      <c r="W13" s="426" t="s">
        <v>11</v>
      </c>
      <c r="X13" s="426" t="s">
        <v>12</v>
      </c>
      <c r="Y13" s="426" t="s">
        <v>14</v>
      </c>
      <c r="Z13" s="426" t="s">
        <v>38</v>
      </c>
      <c r="AA13" s="427" t="s">
        <v>13</v>
      </c>
      <c r="AB13" s="428" t="s">
        <v>101</v>
      </c>
      <c r="AC13" s="429" t="s">
        <v>102</v>
      </c>
      <c r="AD13" s="501" t="s">
        <v>109</v>
      </c>
    </row>
    <row r="14" spans="2:30" ht="18" customHeight="1" thickBot="1">
      <c r="B14" s="502"/>
      <c r="C14" s="432"/>
      <c r="D14" s="432"/>
      <c r="E14" s="432"/>
      <c r="F14" s="432"/>
      <c r="G14" s="432"/>
      <c r="H14" s="432"/>
      <c r="I14" s="432"/>
      <c r="J14" s="503"/>
      <c r="K14" s="420"/>
      <c r="L14" s="462" t="s">
        <v>26</v>
      </c>
      <c r="M14" s="463">
        <v>25</v>
      </c>
      <c r="N14" s="464"/>
      <c r="O14" s="504"/>
      <c r="P14" s="505"/>
      <c r="Q14" s="506"/>
      <c r="R14" s="507"/>
      <c r="S14" s="508"/>
      <c r="T14" s="509"/>
      <c r="U14" s="509"/>
      <c r="V14" s="510"/>
      <c r="W14" s="510"/>
      <c r="X14" s="510"/>
      <c r="Y14" s="510"/>
      <c r="Z14" s="510"/>
      <c r="AA14" s="511"/>
      <c r="AB14" s="511"/>
      <c r="AC14" s="512"/>
      <c r="AD14" s="513"/>
    </row>
    <row r="15" spans="2:30" ht="18" customHeight="1" thickTop="1" thickBot="1">
      <c r="B15" s="514" t="s">
        <v>80</v>
      </c>
      <c r="C15" s="515" t="s">
        <v>81</v>
      </c>
      <c r="D15" s="515" t="s">
        <v>82</v>
      </c>
      <c r="E15" s="515" t="s">
        <v>83</v>
      </c>
      <c r="F15" s="515" t="s">
        <v>11</v>
      </c>
      <c r="G15" s="515" t="s">
        <v>12</v>
      </c>
      <c r="H15" s="515" t="s">
        <v>14</v>
      </c>
      <c r="I15" s="515" t="s">
        <v>38</v>
      </c>
      <c r="J15" s="516" t="s">
        <v>13</v>
      </c>
      <c r="K15" s="420"/>
      <c r="L15" s="462" t="s">
        <v>27</v>
      </c>
      <c r="M15" s="463">
        <v>293</v>
      </c>
      <c r="N15" s="464"/>
      <c r="O15" s="517"/>
      <c r="P15" s="420"/>
      <c r="Q15" s="420"/>
      <c r="R15" s="420"/>
      <c r="S15" s="420"/>
      <c r="T15" s="420"/>
      <c r="U15" s="420"/>
      <c r="V15" s="420"/>
      <c r="W15" s="420"/>
      <c r="X15" s="420"/>
      <c r="Y15" s="420"/>
      <c r="Z15" s="420"/>
      <c r="AA15" s="420"/>
      <c r="AB15" s="420"/>
      <c r="AC15" s="420"/>
      <c r="AD15" s="444"/>
    </row>
    <row r="16" spans="2:30" ht="18" customHeight="1" thickBot="1">
      <c r="B16" s="471">
        <v>18</v>
      </c>
      <c r="C16" s="472">
        <v>6</v>
      </c>
      <c r="D16" s="472">
        <v>18</v>
      </c>
      <c r="E16" s="472"/>
      <c r="F16" s="472"/>
      <c r="G16" s="472"/>
      <c r="H16" s="472"/>
      <c r="I16" s="472"/>
      <c r="J16" s="473"/>
      <c r="K16" s="420"/>
      <c r="L16" s="462" t="s">
        <v>28</v>
      </c>
      <c r="M16" s="463">
        <v>187.363</v>
      </c>
      <c r="N16" s="464"/>
      <c r="O16" s="517"/>
      <c r="P16" s="420"/>
      <c r="Q16" s="420"/>
      <c r="R16" s="420"/>
      <c r="S16" s="420"/>
      <c r="T16" s="420"/>
      <c r="U16" s="420"/>
      <c r="V16" s="420"/>
      <c r="W16" s="420"/>
      <c r="X16" s="420"/>
      <c r="Y16" s="420"/>
      <c r="Z16" s="420"/>
      <c r="AA16" s="420"/>
      <c r="AB16" s="420"/>
      <c r="AC16" s="420"/>
      <c r="AD16" s="444"/>
    </row>
    <row r="17" spans="2:30" ht="18" customHeight="1" thickTop="1" thickBot="1">
      <c r="B17" s="518"/>
      <c r="C17" s="519"/>
      <c r="D17" s="519"/>
      <c r="E17" s="519"/>
      <c r="F17" s="519"/>
      <c r="G17" s="519"/>
      <c r="H17" s="519"/>
      <c r="I17" s="519"/>
      <c r="J17" s="520"/>
      <c r="K17" s="420"/>
      <c r="L17" s="462" t="s">
        <v>29</v>
      </c>
      <c r="M17" s="463">
        <v>116</v>
      </c>
      <c r="N17" s="464"/>
      <c r="O17" s="521" t="s">
        <v>100</v>
      </c>
      <c r="P17" s="522"/>
      <c r="Q17" s="522"/>
      <c r="R17" s="523"/>
      <c r="S17" s="524" t="s">
        <v>115</v>
      </c>
      <c r="T17" s="522"/>
      <c r="U17" s="522"/>
      <c r="V17" s="522"/>
      <c r="W17" s="522"/>
      <c r="X17" s="522"/>
      <c r="Y17" s="522"/>
      <c r="Z17" s="522"/>
      <c r="AA17" s="522"/>
      <c r="AB17" s="522"/>
      <c r="AC17" s="522"/>
      <c r="AD17" s="525"/>
    </row>
    <row r="18" spans="2:30" ht="18" customHeight="1" thickBot="1">
      <c r="B18" s="526" t="s">
        <v>0</v>
      </c>
      <c r="C18" s="527" t="s">
        <v>1</v>
      </c>
      <c r="D18" s="527" t="s">
        <v>2</v>
      </c>
      <c r="E18" s="527" t="s">
        <v>3</v>
      </c>
      <c r="F18" s="527" t="s">
        <v>4</v>
      </c>
      <c r="G18" s="527" t="s">
        <v>5</v>
      </c>
      <c r="H18" s="527" t="s">
        <v>6</v>
      </c>
      <c r="I18" s="527" t="s">
        <v>7</v>
      </c>
      <c r="J18" s="528" t="s">
        <v>8</v>
      </c>
      <c r="K18" s="420"/>
      <c r="L18" s="462" t="s">
        <v>30</v>
      </c>
      <c r="M18" s="463"/>
      <c r="N18" s="464"/>
      <c r="O18" s="529" t="s">
        <v>88</v>
      </c>
      <c r="P18" s="431"/>
      <c r="Q18" s="431"/>
      <c r="R18" s="431"/>
      <c r="S18" s="431"/>
      <c r="T18" s="431"/>
      <c r="U18" s="431"/>
      <c r="V18" s="431"/>
      <c r="W18" s="431"/>
      <c r="X18" s="431"/>
      <c r="Y18" s="431"/>
      <c r="Z18" s="431"/>
      <c r="AA18" s="431"/>
      <c r="AB18" s="431"/>
      <c r="AC18" s="431"/>
      <c r="AD18" s="530"/>
    </row>
    <row r="19" spans="2:30" ht="18" customHeight="1" thickBot="1">
      <c r="B19" s="531" t="s">
        <v>9</v>
      </c>
      <c r="C19" s="532" t="s">
        <v>79</v>
      </c>
      <c r="D19" s="532" t="s">
        <v>78</v>
      </c>
      <c r="E19" s="532" t="s">
        <v>43</v>
      </c>
      <c r="F19" s="532"/>
      <c r="G19" s="532"/>
      <c r="H19" s="532"/>
      <c r="I19" s="532"/>
      <c r="J19" s="533"/>
      <c r="K19" s="420"/>
      <c r="L19" s="462" t="s">
        <v>31</v>
      </c>
      <c r="M19" s="463">
        <v>374.72699999999998</v>
      </c>
      <c r="N19" s="464"/>
      <c r="O19" s="534" t="s">
        <v>84</v>
      </c>
      <c r="P19" s="424" t="s">
        <v>85</v>
      </c>
      <c r="Q19" s="424" t="s">
        <v>86</v>
      </c>
      <c r="R19" s="424" t="s">
        <v>47</v>
      </c>
      <c r="S19" s="426" t="s">
        <v>80</v>
      </c>
      <c r="T19" s="426" t="s">
        <v>81</v>
      </c>
      <c r="U19" s="426" t="s">
        <v>82</v>
      </c>
      <c r="V19" s="426" t="s">
        <v>83</v>
      </c>
      <c r="W19" s="426" t="s">
        <v>11</v>
      </c>
      <c r="X19" s="426" t="s">
        <v>12</v>
      </c>
      <c r="Y19" s="426" t="s">
        <v>14</v>
      </c>
      <c r="Z19" s="426" t="s">
        <v>38</v>
      </c>
      <c r="AA19" s="427" t="s">
        <v>13</v>
      </c>
      <c r="AB19" s="428" t="s">
        <v>101</v>
      </c>
      <c r="AC19" s="429" t="s">
        <v>102</v>
      </c>
      <c r="AD19" s="501" t="s">
        <v>109</v>
      </c>
    </row>
    <row r="20" spans="2:30" ht="18" customHeight="1" thickBot="1">
      <c r="B20" s="535"/>
      <c r="C20" s="536"/>
      <c r="D20" s="536"/>
      <c r="E20" s="536"/>
      <c r="F20" s="536"/>
      <c r="G20" s="536"/>
      <c r="H20" s="536"/>
      <c r="I20" s="536"/>
      <c r="J20" s="537"/>
      <c r="K20" s="420"/>
      <c r="L20" s="462" t="s">
        <v>32</v>
      </c>
      <c r="M20" s="463">
        <v>148</v>
      </c>
      <c r="N20" s="464"/>
      <c r="O20" s="538">
        <v>100</v>
      </c>
      <c r="P20" s="539"/>
      <c r="Q20" s="540"/>
      <c r="R20" s="541"/>
      <c r="S20" s="542"/>
      <c r="T20" s="542"/>
      <c r="U20" s="542"/>
      <c r="V20" s="543"/>
      <c r="W20" s="543"/>
      <c r="X20" s="543"/>
      <c r="Y20" s="543"/>
      <c r="Z20" s="543"/>
      <c r="AA20" s="544"/>
      <c r="AB20" s="544"/>
      <c r="AC20" s="545"/>
      <c r="AD20" s="546"/>
    </row>
    <row r="21" spans="2:30" ht="18" customHeight="1" thickBot="1">
      <c r="B21" s="547"/>
      <c r="C21" s="548"/>
      <c r="D21" s="548"/>
      <c r="E21" s="548"/>
      <c r="F21" s="548"/>
      <c r="G21" s="548"/>
      <c r="H21" s="548"/>
      <c r="I21" s="548"/>
      <c r="J21" s="549"/>
      <c r="K21" s="420"/>
      <c r="L21" s="462" t="s">
        <v>33</v>
      </c>
      <c r="M21" s="463"/>
      <c r="N21" s="464"/>
      <c r="O21" s="550">
        <v>110</v>
      </c>
      <c r="P21" s="548"/>
      <c r="Q21" s="542"/>
      <c r="R21" s="551"/>
      <c r="S21" s="542"/>
      <c r="T21" s="542"/>
      <c r="U21" s="542"/>
      <c r="V21" s="552"/>
      <c r="W21" s="552"/>
      <c r="X21" s="552"/>
      <c r="Y21" s="552"/>
      <c r="Z21" s="552"/>
      <c r="AA21" s="553"/>
      <c r="AB21" s="553"/>
      <c r="AC21" s="554"/>
      <c r="AD21" s="555"/>
    </row>
    <row r="22" spans="2:30" ht="18" customHeight="1" thickBot="1">
      <c r="B22" s="547"/>
      <c r="C22" s="548"/>
      <c r="D22" s="548"/>
      <c r="E22" s="548"/>
      <c r="F22" s="548"/>
      <c r="G22" s="548"/>
      <c r="H22" s="548"/>
      <c r="I22" s="548"/>
      <c r="J22" s="549"/>
      <c r="K22" s="420"/>
      <c r="L22" s="462" t="s">
        <v>34</v>
      </c>
      <c r="M22" s="463"/>
      <c r="N22" s="464"/>
      <c r="O22" s="550">
        <v>120</v>
      </c>
      <c r="P22" s="548"/>
      <c r="Q22" s="542"/>
      <c r="R22" s="551"/>
      <c r="S22" s="542"/>
      <c r="T22" s="542"/>
      <c r="U22" s="542"/>
      <c r="V22" s="552"/>
      <c r="W22" s="552"/>
      <c r="X22" s="552"/>
      <c r="Y22" s="552"/>
      <c r="Z22" s="552"/>
      <c r="AA22" s="553"/>
      <c r="AB22" s="553"/>
      <c r="AC22" s="554"/>
      <c r="AD22" s="555"/>
    </row>
    <row r="23" spans="2:30" ht="18" customHeight="1" thickBot="1">
      <c r="B23" s="547"/>
      <c r="C23" s="548"/>
      <c r="D23" s="548"/>
      <c r="E23" s="548"/>
      <c r="F23" s="548"/>
      <c r="G23" s="548"/>
      <c r="H23" s="548"/>
      <c r="I23" s="548"/>
      <c r="J23" s="549"/>
      <c r="K23" s="420"/>
      <c r="L23" s="462" t="s">
        <v>35</v>
      </c>
      <c r="M23" s="463"/>
      <c r="N23" s="464"/>
      <c r="O23" s="550">
        <v>130</v>
      </c>
      <c r="P23" s="548"/>
      <c r="Q23" s="542"/>
      <c r="R23" s="551"/>
      <c r="S23" s="542"/>
      <c r="T23" s="542"/>
      <c r="U23" s="542"/>
      <c r="V23" s="552"/>
      <c r="W23" s="552"/>
      <c r="X23" s="552"/>
      <c r="Y23" s="552"/>
      <c r="Z23" s="552"/>
      <c r="AA23" s="553"/>
      <c r="AB23" s="553"/>
      <c r="AC23" s="554"/>
      <c r="AD23" s="555"/>
    </row>
    <row r="24" spans="2:30" ht="18" customHeight="1" thickBot="1">
      <c r="B24" s="547"/>
      <c r="C24" s="548"/>
      <c r="D24" s="548"/>
      <c r="E24" s="548"/>
      <c r="F24" s="548"/>
      <c r="G24" s="548"/>
      <c r="H24" s="548"/>
      <c r="I24" s="548"/>
      <c r="J24" s="549"/>
      <c r="K24" s="420"/>
      <c r="L24" s="462" t="s">
        <v>36</v>
      </c>
      <c r="M24" s="463"/>
      <c r="N24" s="464"/>
      <c r="O24" s="550">
        <v>140</v>
      </c>
      <c r="P24" s="548"/>
      <c r="Q24" s="542"/>
      <c r="R24" s="551"/>
      <c r="S24" s="542"/>
      <c r="T24" s="542"/>
      <c r="U24" s="542"/>
      <c r="V24" s="552"/>
      <c r="W24" s="552"/>
      <c r="X24" s="552"/>
      <c r="Y24" s="552"/>
      <c r="Z24" s="552"/>
      <c r="AA24" s="553"/>
      <c r="AB24" s="553"/>
      <c r="AC24" s="554"/>
      <c r="AD24" s="555"/>
    </row>
    <row r="25" spans="2:30" ht="18" customHeight="1" thickBot="1">
      <c r="B25" s="547"/>
      <c r="C25" s="548"/>
      <c r="D25" s="548"/>
      <c r="E25" s="548"/>
      <c r="F25" s="548"/>
      <c r="G25" s="548"/>
      <c r="H25" s="548"/>
      <c r="I25" s="548"/>
      <c r="J25" s="549"/>
      <c r="K25" s="420"/>
      <c r="L25" s="462" t="s">
        <v>41</v>
      </c>
      <c r="M25" s="463"/>
      <c r="N25" s="464"/>
      <c r="O25" s="550">
        <v>150</v>
      </c>
      <c r="P25" s="548"/>
      <c r="Q25" s="542"/>
      <c r="R25" s="551"/>
      <c r="S25" s="542"/>
      <c r="T25" s="542"/>
      <c r="U25" s="542"/>
      <c r="V25" s="552"/>
      <c r="W25" s="552"/>
      <c r="X25" s="552"/>
      <c r="Y25" s="552"/>
      <c r="Z25" s="552"/>
      <c r="AA25" s="553"/>
      <c r="AB25" s="553"/>
      <c r="AC25" s="554"/>
      <c r="AD25" s="555"/>
    </row>
    <row r="26" spans="2:30" ht="18" customHeight="1" thickBot="1">
      <c r="B26" s="547"/>
      <c r="C26" s="548"/>
      <c r="D26" s="548"/>
      <c r="E26" s="548"/>
      <c r="F26" s="548"/>
      <c r="G26" s="548"/>
      <c r="H26" s="548"/>
      <c r="I26" s="548"/>
      <c r="J26" s="549"/>
      <c r="K26" s="420"/>
      <c r="L26" s="462" t="s">
        <v>37</v>
      </c>
      <c r="M26" s="463"/>
      <c r="N26" s="464"/>
      <c r="O26" s="550">
        <v>160</v>
      </c>
      <c r="P26" s="548"/>
      <c r="Q26" s="542"/>
      <c r="R26" s="551"/>
      <c r="S26" s="542"/>
      <c r="T26" s="542"/>
      <c r="U26" s="542"/>
      <c r="V26" s="552"/>
      <c r="W26" s="552"/>
      <c r="X26" s="552"/>
      <c r="Y26" s="552"/>
      <c r="Z26" s="552"/>
      <c r="AA26" s="553"/>
      <c r="AB26" s="553"/>
      <c r="AC26" s="554"/>
      <c r="AD26" s="555"/>
    </row>
    <row r="27" spans="2:30" ht="18" customHeight="1" thickBot="1">
      <c r="B27" s="547"/>
      <c r="C27" s="548"/>
      <c r="D27" s="548"/>
      <c r="E27" s="548"/>
      <c r="F27" s="548"/>
      <c r="G27" s="548"/>
      <c r="H27" s="548"/>
      <c r="I27" s="548"/>
      <c r="J27" s="549"/>
      <c r="K27" s="420"/>
      <c r="L27" s="462" t="s">
        <v>114</v>
      </c>
      <c r="M27" s="463">
        <v>730</v>
      </c>
      <c r="N27" s="464"/>
      <c r="O27" s="550">
        <v>170</v>
      </c>
      <c r="P27" s="548"/>
      <c r="Q27" s="542"/>
      <c r="R27" s="551"/>
      <c r="S27" s="542"/>
      <c r="T27" s="542"/>
      <c r="U27" s="542"/>
      <c r="V27" s="552"/>
      <c r="W27" s="552"/>
      <c r="X27" s="552"/>
      <c r="Y27" s="552"/>
      <c r="Z27" s="552"/>
      <c r="AA27" s="553"/>
      <c r="AB27" s="553"/>
      <c r="AC27" s="554"/>
      <c r="AD27" s="555"/>
    </row>
    <row r="28" spans="2:30" ht="18" customHeight="1" thickBot="1">
      <c r="B28" s="547"/>
      <c r="C28" s="548"/>
      <c r="D28" s="548"/>
      <c r="E28" s="548"/>
      <c r="F28" s="548"/>
      <c r="G28" s="548"/>
      <c r="H28" s="548"/>
      <c r="I28" s="548"/>
      <c r="J28" s="549"/>
      <c r="K28" s="420"/>
      <c r="L28" s="462" t="s">
        <v>38</v>
      </c>
      <c r="M28" s="463"/>
      <c r="N28" s="464"/>
      <c r="O28" s="550">
        <v>180</v>
      </c>
      <c r="P28" s="548"/>
      <c r="Q28" s="542"/>
      <c r="R28" s="551"/>
      <c r="S28" s="542"/>
      <c r="T28" s="542"/>
      <c r="U28" s="542"/>
      <c r="V28" s="552"/>
      <c r="W28" s="552"/>
      <c r="X28" s="552"/>
      <c r="Y28" s="552"/>
      <c r="Z28" s="552"/>
      <c r="AA28" s="553"/>
      <c r="AB28" s="553"/>
      <c r="AC28" s="554"/>
      <c r="AD28" s="555"/>
    </row>
    <row r="29" spans="2:30" ht="18" customHeight="1">
      <c r="B29" s="547"/>
      <c r="C29" s="548"/>
      <c r="D29" s="548"/>
      <c r="E29" s="548"/>
      <c r="F29" s="548"/>
      <c r="G29" s="548"/>
      <c r="H29" s="548"/>
      <c r="I29" s="548"/>
      <c r="J29" s="549"/>
      <c r="K29" s="420"/>
      <c r="L29" s="556"/>
      <c r="M29" s="557"/>
      <c r="N29" s="464"/>
      <c r="O29" s="550">
        <v>190</v>
      </c>
      <c r="P29" s="548"/>
      <c r="Q29" s="542"/>
      <c r="R29" s="551"/>
      <c r="S29" s="542"/>
      <c r="T29" s="542"/>
      <c r="U29" s="542"/>
      <c r="V29" s="552"/>
      <c r="W29" s="552"/>
      <c r="X29" s="552"/>
      <c r="Y29" s="552"/>
      <c r="Z29" s="552"/>
      <c r="AA29" s="553"/>
      <c r="AB29" s="553"/>
      <c r="AC29" s="554"/>
      <c r="AD29" s="555"/>
    </row>
    <row r="30" spans="2:30" ht="18" customHeight="1">
      <c r="B30" s="547"/>
      <c r="C30" s="548"/>
      <c r="D30" s="548"/>
      <c r="E30" s="548"/>
      <c r="F30" s="548"/>
      <c r="G30" s="548"/>
      <c r="H30" s="548"/>
      <c r="I30" s="548"/>
      <c r="J30" s="549"/>
      <c r="K30" s="420"/>
      <c r="L30" s="556"/>
      <c r="M30" s="557"/>
      <c r="N30" s="464"/>
      <c r="O30" s="550">
        <v>200</v>
      </c>
      <c r="P30" s="548"/>
      <c r="Q30" s="542"/>
      <c r="R30" s="551"/>
      <c r="S30" s="542"/>
      <c r="T30" s="542"/>
      <c r="U30" s="542"/>
      <c r="V30" s="552"/>
      <c r="W30" s="552"/>
      <c r="X30" s="552"/>
      <c r="Y30" s="552"/>
      <c r="Z30" s="552"/>
      <c r="AA30" s="553"/>
      <c r="AB30" s="553"/>
      <c r="AC30" s="554"/>
      <c r="AD30" s="555"/>
    </row>
    <row r="31" spans="2:30" ht="18" customHeight="1">
      <c r="B31" s="547"/>
      <c r="C31" s="548"/>
      <c r="D31" s="548"/>
      <c r="E31" s="548"/>
      <c r="F31" s="548"/>
      <c r="G31" s="548"/>
      <c r="H31" s="548"/>
      <c r="I31" s="548"/>
      <c r="J31" s="549"/>
      <c r="K31" s="420"/>
      <c r="L31" s="556"/>
      <c r="M31" s="557"/>
      <c r="N31" s="464"/>
      <c r="O31" s="550">
        <v>210</v>
      </c>
      <c r="P31" s="548"/>
      <c r="Q31" s="542"/>
      <c r="R31" s="551"/>
      <c r="S31" s="542"/>
      <c r="T31" s="542"/>
      <c r="U31" s="542"/>
      <c r="V31" s="552"/>
      <c r="W31" s="552"/>
      <c r="X31" s="552"/>
      <c r="Y31" s="552"/>
      <c r="Z31" s="552"/>
      <c r="AA31" s="553"/>
      <c r="AB31" s="553"/>
      <c r="AC31" s="554"/>
      <c r="AD31" s="555"/>
    </row>
    <row r="32" spans="2:30" ht="18" customHeight="1" thickBot="1">
      <c r="B32" s="558"/>
      <c r="C32" s="559"/>
      <c r="D32" s="559"/>
      <c r="E32" s="559"/>
      <c r="F32" s="559"/>
      <c r="G32" s="559"/>
      <c r="H32" s="559"/>
      <c r="I32" s="559"/>
      <c r="J32" s="560"/>
      <c r="K32" s="420"/>
      <c r="L32" s="556"/>
      <c r="M32" s="557"/>
      <c r="N32" s="464"/>
      <c r="O32" s="561">
        <v>220</v>
      </c>
      <c r="P32" s="562"/>
      <c r="Q32" s="563"/>
      <c r="R32" s="564"/>
      <c r="S32" s="563"/>
      <c r="T32" s="563"/>
      <c r="U32" s="563"/>
      <c r="V32" s="565"/>
      <c r="W32" s="565"/>
      <c r="X32" s="565"/>
      <c r="Y32" s="565"/>
      <c r="Z32" s="565"/>
      <c r="AA32" s="566"/>
      <c r="AB32" s="566"/>
      <c r="AC32" s="567"/>
      <c r="AD32" s="568"/>
    </row>
    <row r="33" spans="2:30" ht="18" customHeight="1" thickTop="1" thickBot="1">
      <c r="B33" s="502"/>
      <c r="C33" s="432"/>
      <c r="D33" s="432"/>
      <c r="E33" s="432"/>
      <c r="F33" s="432"/>
      <c r="G33" s="432"/>
      <c r="H33" s="432"/>
      <c r="I33" s="432"/>
      <c r="J33" s="503"/>
      <c r="K33" s="420"/>
      <c r="L33" s="569"/>
      <c r="M33" s="570"/>
      <c r="N33" s="464"/>
      <c r="O33" s="571"/>
      <c r="P33" s="415"/>
      <c r="Q33" s="415"/>
      <c r="R33" s="415"/>
      <c r="S33" s="415"/>
      <c r="T33" s="415"/>
      <c r="U33" s="415"/>
      <c r="V33" s="415"/>
      <c r="W33" s="415"/>
      <c r="X33" s="415"/>
      <c r="Y33" s="415"/>
      <c r="Z33" s="415"/>
      <c r="AA33" s="415"/>
      <c r="AB33" s="415"/>
      <c r="AC33" s="415"/>
      <c r="AD33" s="572"/>
    </row>
    <row r="34" spans="2:30" ht="18" customHeight="1" thickBot="1">
      <c r="B34" s="573"/>
      <c r="C34" s="574"/>
      <c r="D34" s="574"/>
      <c r="E34" s="574"/>
      <c r="F34" s="574"/>
      <c r="G34" s="574"/>
      <c r="H34" s="574"/>
      <c r="I34" s="574"/>
      <c r="J34" s="575"/>
      <c r="K34" s="420"/>
      <c r="L34" s="556"/>
      <c r="M34" s="557"/>
      <c r="N34" s="464"/>
      <c r="O34" s="576" t="s">
        <v>92</v>
      </c>
      <c r="P34" s="577"/>
      <c r="Q34" s="577"/>
      <c r="R34" s="577"/>
      <c r="S34" s="577"/>
      <c r="T34" s="577"/>
      <c r="U34" s="577"/>
      <c r="V34" s="577"/>
      <c r="W34" s="577"/>
      <c r="X34" s="577"/>
      <c r="Y34" s="577"/>
      <c r="Z34" s="577"/>
      <c r="AA34" s="577"/>
      <c r="AB34" s="577"/>
      <c r="AC34" s="577"/>
      <c r="AD34" s="578"/>
    </row>
    <row r="35" spans="2:30" ht="18" customHeight="1" thickTop="1" thickBot="1">
      <c r="B35" s="579"/>
      <c r="C35" s="580"/>
      <c r="D35" s="580"/>
      <c r="E35" s="580"/>
      <c r="F35" s="580"/>
      <c r="G35" s="580"/>
      <c r="H35" s="580"/>
      <c r="I35" s="580"/>
      <c r="J35" s="581"/>
      <c r="K35" s="420"/>
      <c r="L35" s="556"/>
      <c r="M35" s="557"/>
      <c r="N35" s="464"/>
      <c r="O35" s="582" t="s">
        <v>87</v>
      </c>
      <c r="P35" s="583"/>
      <c r="Q35" s="584" t="s">
        <v>86</v>
      </c>
      <c r="R35" s="585"/>
      <c r="S35" s="586" t="s">
        <v>80</v>
      </c>
      <c r="T35" s="586" t="s">
        <v>81</v>
      </c>
      <c r="U35" s="586" t="s">
        <v>82</v>
      </c>
      <c r="V35" s="586" t="s">
        <v>83</v>
      </c>
      <c r="W35" s="586" t="s">
        <v>11</v>
      </c>
      <c r="X35" s="586" t="s">
        <v>12</v>
      </c>
      <c r="Y35" s="586" t="s">
        <v>14</v>
      </c>
      <c r="Z35" s="586" t="s">
        <v>38</v>
      </c>
      <c r="AA35" s="587" t="s">
        <v>13</v>
      </c>
      <c r="AB35" s="588" t="s">
        <v>101</v>
      </c>
      <c r="AC35" s="589" t="s">
        <v>102</v>
      </c>
      <c r="AD35" s="590" t="s">
        <v>109</v>
      </c>
    </row>
    <row r="36" spans="2:30" ht="18" customHeight="1" thickBot="1">
      <c r="B36" s="459"/>
      <c r="C36" s="460"/>
      <c r="D36" s="460"/>
      <c r="E36" s="460"/>
      <c r="F36" s="460"/>
      <c r="G36" s="460"/>
      <c r="H36" s="460"/>
      <c r="I36" s="460"/>
      <c r="J36" s="461"/>
      <c r="K36" s="420"/>
      <c r="L36" s="591"/>
      <c r="M36" s="592"/>
      <c r="N36" s="464"/>
      <c r="O36" s="504"/>
      <c r="P36" s="505"/>
      <c r="Q36" s="506">
        <v>189.6225708884688</v>
      </c>
      <c r="R36" s="507"/>
      <c r="S36" s="508">
        <v>18</v>
      </c>
      <c r="T36" s="509">
        <v>6</v>
      </c>
      <c r="U36" s="509">
        <v>18</v>
      </c>
      <c r="V36" s="510">
        <v>0</v>
      </c>
      <c r="W36" s="510">
        <v>0</v>
      </c>
      <c r="X36" s="510">
        <v>0</v>
      </c>
      <c r="Y36" s="510">
        <v>0</v>
      </c>
      <c r="Z36" s="510">
        <v>0</v>
      </c>
      <c r="AA36" s="511">
        <v>14.399999999999999</v>
      </c>
      <c r="AB36" s="511">
        <v>67.974385633270316</v>
      </c>
      <c r="AC36" s="512">
        <v>0.7706994328922494</v>
      </c>
      <c r="AD36" s="513">
        <v>821.82419659735342</v>
      </c>
    </row>
    <row r="37" spans="2:30" ht="16.5" customHeight="1" thickTop="1" thickBot="1">
      <c r="B37" s="593" t="s">
        <v>0</v>
      </c>
      <c r="C37" s="594" t="s">
        <v>1</v>
      </c>
      <c r="D37" s="594" t="s">
        <v>2</v>
      </c>
      <c r="E37" s="594" t="s">
        <v>3</v>
      </c>
      <c r="F37" s="594" t="s">
        <v>4</v>
      </c>
      <c r="G37" s="594" t="s">
        <v>5</v>
      </c>
      <c r="H37" s="594" t="s">
        <v>6</v>
      </c>
      <c r="I37" s="594" t="s">
        <v>7</v>
      </c>
      <c r="J37" s="595" t="s">
        <v>8</v>
      </c>
      <c r="K37" s="420"/>
      <c r="L37" s="556"/>
      <c r="M37" s="557"/>
      <c r="N37" s="464"/>
      <c r="O37" s="517"/>
      <c r="P37" s="420"/>
      <c r="Q37" s="420"/>
      <c r="R37" s="420"/>
      <c r="S37" s="420"/>
      <c r="T37" s="420"/>
      <c r="U37" s="420"/>
      <c r="V37" s="420"/>
      <c r="W37" s="420"/>
      <c r="X37" s="420"/>
      <c r="Y37" s="420"/>
      <c r="Z37" s="420"/>
      <c r="AA37" s="420"/>
      <c r="AB37" s="420"/>
      <c r="AC37" s="420"/>
      <c r="AD37" s="444"/>
    </row>
    <row r="38" spans="2:30" ht="16.5" customHeight="1" thickTop="1" thickBot="1">
      <c r="B38" s="596" t="s">
        <v>9</v>
      </c>
      <c r="C38" s="597" t="s">
        <v>79</v>
      </c>
      <c r="D38" s="597" t="s">
        <v>78</v>
      </c>
      <c r="E38" s="597" t="s">
        <v>43</v>
      </c>
      <c r="F38" s="597"/>
      <c r="G38" s="597"/>
      <c r="H38" s="597"/>
      <c r="I38" s="597"/>
      <c r="J38" s="598"/>
      <c r="K38" s="460"/>
      <c r="L38" s="556"/>
      <c r="M38" s="557"/>
      <c r="N38" s="464"/>
      <c r="O38" s="599" t="s">
        <v>85</v>
      </c>
      <c r="P38" s="600" t="s">
        <v>91</v>
      </c>
      <c r="Q38" s="600" t="s">
        <v>86</v>
      </c>
      <c r="R38" s="600" t="s">
        <v>47</v>
      </c>
      <c r="S38" s="601" t="s">
        <v>80</v>
      </c>
      <c r="T38" s="601" t="s">
        <v>81</v>
      </c>
      <c r="U38" s="601" t="s">
        <v>82</v>
      </c>
      <c r="V38" s="601" t="s">
        <v>83</v>
      </c>
      <c r="W38" s="601" t="s">
        <v>11</v>
      </c>
      <c r="X38" s="601" t="s">
        <v>12</v>
      </c>
      <c r="Y38" s="601" t="s">
        <v>14</v>
      </c>
      <c r="Z38" s="601" t="s">
        <v>38</v>
      </c>
      <c r="AA38" s="602" t="s">
        <v>13</v>
      </c>
      <c r="AB38" s="603" t="s">
        <v>101</v>
      </c>
      <c r="AC38" s="589" t="s">
        <v>102</v>
      </c>
      <c r="AD38" s="590" t="s">
        <v>109</v>
      </c>
    </row>
    <row r="39" spans="2:30" ht="16.5" customHeight="1">
      <c r="B39" s="535">
        <v>0.2</v>
      </c>
      <c r="C39" s="536">
        <v>0.34026465028355385</v>
      </c>
      <c r="D39" s="536">
        <v>0.13043478260869565</v>
      </c>
      <c r="E39" s="536">
        <v>0.25313005332161309</v>
      </c>
      <c r="F39" s="536"/>
      <c r="G39" s="536"/>
      <c r="H39" s="536"/>
      <c r="I39" s="536"/>
      <c r="J39" s="537"/>
      <c r="K39" s="460"/>
      <c r="L39" s="556"/>
      <c r="M39" s="557"/>
      <c r="N39" s="464"/>
      <c r="O39" s="604">
        <v>0.2</v>
      </c>
      <c r="P39" s="605">
        <v>200</v>
      </c>
      <c r="Q39" s="542">
        <v>218.37378368565595</v>
      </c>
      <c r="R39" s="542">
        <v>28.751212797187151</v>
      </c>
      <c r="S39" s="542">
        <v>18</v>
      </c>
      <c r="T39" s="542">
        <v>6</v>
      </c>
      <c r="U39" s="542">
        <v>18</v>
      </c>
      <c r="V39" s="552">
        <v>3.8291253762781032</v>
      </c>
      <c r="W39" s="552">
        <v>1.2032261649072471</v>
      </c>
      <c r="X39" s="552">
        <v>3.3482098698886311</v>
      </c>
      <c r="Y39" s="552">
        <v>0</v>
      </c>
      <c r="Z39" s="552">
        <v>0</v>
      </c>
      <c r="AA39" s="553">
        <v>12.550242559437429</v>
      </c>
      <c r="AB39" s="553">
        <v>77.104727538419212</v>
      </c>
      <c r="AC39" s="554">
        <v>0.92382948621386263</v>
      </c>
      <c r="AD39" s="555">
        <v>815.61971525991805</v>
      </c>
    </row>
    <row r="40" spans="2:30" ht="16.5" customHeight="1">
      <c r="B40" s="547">
        <v>0.21</v>
      </c>
      <c r="C40" s="548">
        <v>0.34026465028355385</v>
      </c>
      <c r="D40" s="548">
        <v>0.13043478260869565</v>
      </c>
      <c r="E40" s="548">
        <v>0.25078655598769373</v>
      </c>
      <c r="F40" s="548"/>
      <c r="G40" s="548"/>
      <c r="H40" s="548"/>
      <c r="I40" s="548"/>
      <c r="J40" s="549"/>
      <c r="K40" s="460"/>
      <c r="L40" s="556"/>
      <c r="M40" s="557"/>
      <c r="N40" s="464"/>
      <c r="O40" s="604">
        <v>0.21</v>
      </c>
      <c r="P40" s="605">
        <v>200</v>
      </c>
      <c r="Q40" s="542">
        <v>219.81134432551528</v>
      </c>
      <c r="R40" s="542">
        <v>30.188773437046478</v>
      </c>
      <c r="S40" s="542">
        <v>18</v>
      </c>
      <c r="T40" s="542">
        <v>6</v>
      </c>
      <c r="U40" s="542">
        <v>18</v>
      </c>
      <c r="V40" s="552">
        <v>4.0205816450920082</v>
      </c>
      <c r="W40" s="552">
        <v>1.2633874731526094</v>
      </c>
      <c r="X40" s="552">
        <v>3.5156203633830625</v>
      </c>
      <c r="Y40" s="552">
        <v>0</v>
      </c>
      <c r="Z40" s="552">
        <v>0</v>
      </c>
      <c r="AA40" s="553">
        <v>12.457754687409299</v>
      </c>
      <c r="AB40" s="553">
        <v>77.561244633676651</v>
      </c>
      <c r="AC40" s="554">
        <v>0.93148598887994327</v>
      </c>
      <c r="AD40" s="555">
        <v>815.30949119304626</v>
      </c>
    </row>
    <row r="41" spans="2:30" ht="16.5" customHeight="1">
      <c r="B41" s="547">
        <v>0.22</v>
      </c>
      <c r="C41" s="548">
        <v>0.34026465028355385</v>
      </c>
      <c r="D41" s="548">
        <v>0.13043478260869565</v>
      </c>
      <c r="E41" s="548">
        <v>0.24844305865377439</v>
      </c>
      <c r="F41" s="548"/>
      <c r="G41" s="548"/>
      <c r="H41" s="548"/>
      <c r="I41" s="548"/>
      <c r="J41" s="549"/>
      <c r="K41" s="460"/>
      <c r="L41" s="606"/>
      <c r="M41" s="607"/>
      <c r="N41" s="464"/>
      <c r="O41" s="604">
        <v>0.22</v>
      </c>
      <c r="P41" s="605">
        <v>200</v>
      </c>
      <c r="Q41" s="542">
        <v>221.24890496537466</v>
      </c>
      <c r="R41" s="542">
        <v>31.626334076905863</v>
      </c>
      <c r="S41" s="542">
        <v>18</v>
      </c>
      <c r="T41" s="542">
        <v>6</v>
      </c>
      <c r="U41" s="542">
        <v>18</v>
      </c>
      <c r="V41" s="552">
        <v>4.2120379139059132</v>
      </c>
      <c r="W41" s="552">
        <v>1.3235487813979718</v>
      </c>
      <c r="X41" s="552">
        <v>3.6830308568774943</v>
      </c>
      <c r="Y41" s="552">
        <v>0</v>
      </c>
      <c r="Z41" s="552">
        <v>0</v>
      </c>
      <c r="AA41" s="553">
        <v>12.365266815381171</v>
      </c>
      <c r="AB41" s="553">
        <v>78.017761728934104</v>
      </c>
      <c r="AC41" s="554">
        <v>0.93914249154602392</v>
      </c>
      <c r="AD41" s="555">
        <v>814.99926712617446</v>
      </c>
    </row>
    <row r="42" spans="2:30" ht="16.5" customHeight="1">
      <c r="B42" s="547">
        <v>0.23</v>
      </c>
      <c r="C42" s="548">
        <v>0.34026465028355385</v>
      </c>
      <c r="D42" s="548">
        <v>0.13043478260869565</v>
      </c>
      <c r="E42" s="548">
        <v>0.24609956131985505</v>
      </c>
      <c r="F42" s="548"/>
      <c r="G42" s="548"/>
      <c r="H42" s="548"/>
      <c r="I42" s="548"/>
      <c r="J42" s="549"/>
      <c r="K42" s="460"/>
      <c r="L42" s="606"/>
      <c r="M42" s="607"/>
      <c r="N42" s="464"/>
      <c r="O42" s="604">
        <v>0.23</v>
      </c>
      <c r="P42" s="605">
        <v>200</v>
      </c>
      <c r="Q42" s="542">
        <v>222.68646560523402</v>
      </c>
      <c r="R42" s="542">
        <v>33.063894716765219</v>
      </c>
      <c r="S42" s="542">
        <v>18</v>
      </c>
      <c r="T42" s="542">
        <v>6</v>
      </c>
      <c r="U42" s="542">
        <v>18</v>
      </c>
      <c r="V42" s="552">
        <v>4.4034941827198191</v>
      </c>
      <c r="W42" s="552">
        <v>1.3837100896433341</v>
      </c>
      <c r="X42" s="552">
        <v>3.8504413503719261</v>
      </c>
      <c r="Y42" s="552">
        <v>0</v>
      </c>
      <c r="Z42" s="552">
        <v>0</v>
      </c>
      <c r="AA42" s="553">
        <v>12.272778943353043</v>
      </c>
      <c r="AB42" s="553">
        <v>78.474278824191543</v>
      </c>
      <c r="AC42" s="554">
        <v>0.94679899421210467</v>
      </c>
      <c r="AD42" s="555">
        <v>814.68904305930266</v>
      </c>
    </row>
    <row r="43" spans="2:30" ht="16.5" customHeight="1">
      <c r="B43" s="547">
        <v>0.24</v>
      </c>
      <c r="C43" s="548">
        <v>0.34026465028355385</v>
      </c>
      <c r="D43" s="548">
        <v>0.13043478260869565</v>
      </c>
      <c r="E43" s="548">
        <v>0.24375606398593569</v>
      </c>
      <c r="F43" s="548"/>
      <c r="G43" s="548"/>
      <c r="H43" s="548"/>
      <c r="I43" s="548"/>
      <c r="J43" s="549"/>
      <c r="K43" s="460"/>
      <c r="L43" s="606"/>
      <c r="M43" s="607"/>
      <c r="N43" s="464"/>
      <c r="O43" s="604">
        <v>0.24</v>
      </c>
      <c r="P43" s="605">
        <v>200</v>
      </c>
      <c r="Q43" s="542">
        <v>224.12402624509338</v>
      </c>
      <c r="R43" s="542">
        <v>34.501455356624575</v>
      </c>
      <c r="S43" s="542">
        <v>18</v>
      </c>
      <c r="T43" s="542">
        <v>6</v>
      </c>
      <c r="U43" s="542">
        <v>18</v>
      </c>
      <c r="V43" s="552">
        <v>4.5949504515337241</v>
      </c>
      <c r="W43" s="552">
        <v>1.4438713978886963</v>
      </c>
      <c r="X43" s="552">
        <v>4.0178518438663575</v>
      </c>
      <c r="Y43" s="552">
        <v>0</v>
      </c>
      <c r="Z43" s="552">
        <v>0</v>
      </c>
      <c r="AA43" s="553">
        <v>12.180291071324913</v>
      </c>
      <c r="AB43" s="553">
        <v>78.930795919448997</v>
      </c>
      <c r="AC43" s="554">
        <v>0.95445549687818509</v>
      </c>
      <c r="AD43" s="555">
        <v>814.37881899243098</v>
      </c>
    </row>
    <row r="44" spans="2:30" ht="16.5" customHeight="1">
      <c r="B44" s="547">
        <v>0.25</v>
      </c>
      <c r="C44" s="548">
        <v>0.34026465028355385</v>
      </c>
      <c r="D44" s="548">
        <v>0.13043478260869565</v>
      </c>
      <c r="E44" s="548">
        <v>0.24141256665201635</v>
      </c>
      <c r="F44" s="548"/>
      <c r="G44" s="548"/>
      <c r="H44" s="548"/>
      <c r="I44" s="548"/>
      <c r="J44" s="549"/>
      <c r="K44" s="460"/>
      <c r="L44" s="606"/>
      <c r="M44" s="607"/>
      <c r="N44" s="464"/>
      <c r="O44" s="604">
        <v>0.25</v>
      </c>
      <c r="P44" s="605">
        <v>200</v>
      </c>
      <c r="Q44" s="542">
        <v>225.56158688495273</v>
      </c>
      <c r="R44" s="542">
        <v>35.939015996483931</v>
      </c>
      <c r="S44" s="542">
        <v>18</v>
      </c>
      <c r="T44" s="542">
        <v>6</v>
      </c>
      <c r="U44" s="542">
        <v>18</v>
      </c>
      <c r="V44" s="552">
        <v>4.786406720347629</v>
      </c>
      <c r="W44" s="552">
        <v>1.5040327061340588</v>
      </c>
      <c r="X44" s="552">
        <v>4.1852623373607889</v>
      </c>
      <c r="Y44" s="552">
        <v>0</v>
      </c>
      <c r="Z44" s="552">
        <v>0</v>
      </c>
      <c r="AA44" s="553">
        <v>12.087803199296784</v>
      </c>
      <c r="AB44" s="553">
        <v>79.387313014706436</v>
      </c>
      <c r="AC44" s="554">
        <v>0.96211199954426585</v>
      </c>
      <c r="AD44" s="555">
        <v>814.06859492555918</v>
      </c>
    </row>
    <row r="45" spans="2:30" ht="16.5" customHeight="1" thickBot="1">
      <c r="B45" s="608">
        <v>0.28000000000000003</v>
      </c>
      <c r="C45" s="609">
        <v>0.34026465028355385</v>
      </c>
      <c r="D45" s="609">
        <v>0.13043478260869565</v>
      </c>
      <c r="E45" s="609">
        <v>0.23438207465025829</v>
      </c>
      <c r="F45" s="609"/>
      <c r="G45" s="609"/>
      <c r="H45" s="609"/>
      <c r="I45" s="609"/>
      <c r="J45" s="610"/>
      <c r="K45" s="420"/>
      <c r="L45" s="611"/>
      <c r="M45" s="612"/>
      <c r="N45" s="464"/>
      <c r="O45" s="604">
        <v>0.28000000000000003</v>
      </c>
      <c r="P45" s="605">
        <v>200</v>
      </c>
      <c r="Q45" s="542">
        <v>229.8742688045308</v>
      </c>
      <c r="R45" s="542">
        <v>40.251697916062</v>
      </c>
      <c r="S45" s="542">
        <v>18</v>
      </c>
      <c r="T45" s="542">
        <v>6</v>
      </c>
      <c r="U45" s="542">
        <v>18</v>
      </c>
      <c r="V45" s="552">
        <v>5.3607755267893449</v>
      </c>
      <c r="W45" s="552">
        <v>1.684516630870146</v>
      </c>
      <c r="X45" s="552">
        <v>4.6874938178440839</v>
      </c>
      <c r="Y45" s="552">
        <v>0</v>
      </c>
      <c r="Z45" s="552">
        <v>0</v>
      </c>
      <c r="AA45" s="553">
        <v>11.810339583212398</v>
      </c>
      <c r="AB45" s="553">
        <v>80.756864300478767</v>
      </c>
      <c r="AC45" s="554">
        <v>0.98508150754250778</v>
      </c>
      <c r="AD45" s="555">
        <v>813.13792272494379</v>
      </c>
    </row>
    <row r="46" spans="2:30" ht="15.6" thickBot="1">
      <c r="B46" s="613">
        <v>0.3</v>
      </c>
      <c r="C46" s="562">
        <v>0.34051826570298405</v>
      </c>
      <c r="D46" s="562">
        <v>0.12978665431459629</v>
      </c>
      <c r="E46" s="562">
        <v>0.22969507998241964</v>
      </c>
      <c r="F46" s="562"/>
      <c r="G46" s="562"/>
      <c r="H46" s="562"/>
      <c r="I46" s="562"/>
      <c r="J46" s="614"/>
      <c r="K46" s="615"/>
      <c r="L46" s="616"/>
      <c r="M46" s="617"/>
      <c r="N46" s="618"/>
      <c r="O46" s="619">
        <v>0.3</v>
      </c>
      <c r="P46" s="620">
        <v>200</v>
      </c>
      <c r="Q46" s="563">
        <v>232.52923124461719</v>
      </c>
      <c r="R46" s="563">
        <v>42.906660356148393</v>
      </c>
      <c r="S46" s="563">
        <v>18</v>
      </c>
      <c r="T46" s="563">
        <v>5.9701860984714292</v>
      </c>
      <c r="U46" s="563">
        <v>18</v>
      </c>
      <c r="V46" s="565">
        <v>5.7436880644171548</v>
      </c>
      <c r="W46" s="565">
        <v>1.8048392473608705</v>
      </c>
      <c r="X46" s="565">
        <v>5.0223148048329467</v>
      </c>
      <c r="Y46" s="565">
        <v>0</v>
      </c>
      <c r="Z46" s="565">
        <v>0</v>
      </c>
      <c r="AA46" s="566">
        <v>11.625363839156142</v>
      </c>
      <c r="AB46" s="566">
        <v>81.669842132011567</v>
      </c>
      <c r="AC46" s="567">
        <v>0.99999999999999989</v>
      </c>
      <c r="AD46" s="568">
        <v>812.45547971089513</v>
      </c>
    </row>
    <row r="47" spans="2:30" ht="14.4" thickTop="1"/>
  </sheetData>
  <conditionalFormatting sqref="Q20:Q32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0:R32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9:Q46">
    <cfRule type="cellIs" dxfId="109" priority="59" stopIfTrue="1" operator="lessThanOrEqual">
      <formula>$Q$36</formula>
    </cfRule>
  </conditionalFormatting>
  <conditionalFormatting sqref="C6">
    <cfRule type="cellIs" dxfId="108" priority="51" operator="lessThan">
      <formula>$C$6</formula>
    </cfRule>
  </conditionalFormatting>
  <conditionalFormatting sqref="R39:R46">
    <cfRule type="colorScale" priority="48">
      <colorScale>
        <cfvo type="min"/>
        <cfvo type="max"/>
        <color rgb="FFFFEF9C"/>
        <color rgb="FF63BE7B"/>
      </colorScale>
    </cfRule>
  </conditionalFormatting>
  <conditionalFormatting sqref="S39:S46 S20:S32">
    <cfRule type="cellIs" dxfId="107" priority="76" operator="lessThan">
      <formula>$B$16</formula>
    </cfRule>
  </conditionalFormatting>
  <conditionalFormatting sqref="T39:T46 T20:T32">
    <cfRule type="cellIs" dxfId="106" priority="78" operator="lessThan">
      <formula>$C$16</formula>
    </cfRule>
  </conditionalFormatting>
  <conditionalFormatting sqref="U39:U46 U20:U32">
    <cfRule type="cellIs" dxfId="105" priority="80" operator="lessThan">
      <formula>$D$16</formula>
    </cfRule>
  </conditionalFormatting>
  <conditionalFormatting sqref="B39">
    <cfRule type="cellIs" dxfId="104" priority="8" operator="lessThan">
      <formula>$O$39</formula>
    </cfRule>
  </conditionalFormatting>
  <conditionalFormatting sqref="B40">
    <cfRule type="cellIs" dxfId="103" priority="7" operator="lessThan">
      <formula>$O$40</formula>
    </cfRule>
  </conditionalFormatting>
  <conditionalFormatting sqref="B41">
    <cfRule type="cellIs" dxfId="102" priority="6" operator="lessThan">
      <formula>$O$41</formula>
    </cfRule>
  </conditionalFormatting>
  <conditionalFormatting sqref="B42">
    <cfRule type="cellIs" dxfId="101" priority="5" operator="lessThan">
      <formula>$O$42</formula>
    </cfRule>
  </conditionalFormatting>
  <conditionalFormatting sqref="B43">
    <cfRule type="cellIs" dxfId="100" priority="4" stopIfTrue="1" operator="lessThan">
      <formula>$O$43</formula>
    </cfRule>
  </conditionalFormatting>
  <conditionalFormatting sqref="B44">
    <cfRule type="cellIs" dxfId="99" priority="3" operator="lessThan">
      <formula>$O$44</formula>
    </cfRule>
  </conditionalFormatting>
  <conditionalFormatting sqref="B45">
    <cfRule type="cellIs" dxfId="98" priority="2" operator="lessThan">
      <formula>$O$45</formula>
    </cfRule>
  </conditionalFormatting>
  <conditionalFormatting sqref="B46">
    <cfRule type="cellIs" dxfId="97" priority="1" operator="lessThan">
      <formula>$O$46</formula>
    </cfRule>
  </conditionalFormatting>
  <dataValidations count="2">
    <dataValidation type="list" allowBlank="1" showInputMessage="1" showErrorMessage="1" sqref="B19 B38" xr:uid="{00000000-0002-0000-0100-000000000000}">
      <formula1>"POLY4"</formula1>
    </dataValidation>
    <dataValidation type="list" allowBlank="1" showInputMessage="1" showErrorMessage="1" sqref="C19:J19 B9:J9 C38:J38" xr:uid="{00000000-0002-0000-0100-000001000000}">
      <formula1>$C$96:$V$96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6" r:id="rId4" name="TextBox1">
          <controlPr defaultSize="0" autoLine="0" linkedCell="#REF!" r:id="rId5">
            <anchor moveWithCells="1">
              <from>
                <xdr:col>1</xdr:col>
                <xdr:colOff>30480</xdr:colOff>
                <xdr:row>1</xdr:row>
                <xdr:rowOff>22860</xdr:rowOff>
              </from>
              <to>
                <xdr:col>16</xdr:col>
                <xdr:colOff>312420</xdr:colOff>
                <xdr:row>1</xdr:row>
                <xdr:rowOff>205740</xdr:rowOff>
              </to>
            </anchor>
          </controlPr>
        </control>
      </mc:Choice>
      <mc:Fallback>
        <control shapeId="2066" r:id="rId4" name="Text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A4A73-0106-41EF-85EA-4B078F722186}">
  <sheetPr codeName="Sheet7"/>
  <dimension ref="A1:BJ233"/>
  <sheetViews>
    <sheetView showGridLines="0" zoomScale="86" zoomScaleNormal="86" workbookViewId="0">
      <selection activeCell="R22" sqref="R22"/>
    </sheetView>
  </sheetViews>
  <sheetFormatPr defaultRowHeight="13.8" customHeight="1"/>
  <cols>
    <col min="1" max="1" width="4.21875" style="621" customWidth="1"/>
    <col min="2" max="2" width="13.77734375" style="621" customWidth="1"/>
    <col min="3" max="12" width="11.5546875" style="621" customWidth="1"/>
    <col min="13" max="13" width="14.6640625" style="621" customWidth="1"/>
    <col min="14" max="14" width="11.44140625" style="621" customWidth="1"/>
    <col min="15" max="15" width="15.5546875" style="621" customWidth="1"/>
    <col min="16" max="25" width="11.5546875" style="621" customWidth="1"/>
    <col min="26" max="26" width="14.6640625" style="621" customWidth="1"/>
    <col min="27" max="27" width="14.44140625" style="442" bestFit="1" customWidth="1"/>
    <col min="28" max="28" width="12" style="621" customWidth="1"/>
    <col min="29" max="42" width="8.88671875" style="621"/>
    <col min="43" max="43" width="19.21875" style="621" bestFit="1" customWidth="1"/>
    <col min="44" max="45" width="8.88671875" style="621"/>
    <col min="46" max="46" width="19.21875" style="621" bestFit="1" customWidth="1"/>
    <col min="47" max="49" width="8.88671875" style="621"/>
    <col min="50" max="50" width="19.5546875" style="621" customWidth="1"/>
    <col min="51" max="60" width="9.44140625" style="621" customWidth="1"/>
    <col min="61" max="61" width="12.88671875" style="621" customWidth="1"/>
    <col min="62" max="62" width="13.33203125" style="621" customWidth="1"/>
    <col min="63" max="63" width="13.5546875" style="621" bestFit="1" customWidth="1"/>
    <col min="64" max="16384" width="8.88671875" style="621"/>
  </cols>
  <sheetData>
    <row r="1" spans="1:40" ht="21.6" customHeight="1">
      <c r="A1" s="622"/>
      <c r="B1" s="776" t="s">
        <v>184</v>
      </c>
      <c r="C1" s="623"/>
      <c r="D1" s="623"/>
      <c r="E1" s="623"/>
      <c r="F1" s="623"/>
      <c r="G1" s="623"/>
      <c r="H1" s="623"/>
      <c r="I1" s="623"/>
      <c r="J1" s="623"/>
      <c r="K1" s="623"/>
      <c r="L1" s="623"/>
      <c r="M1" s="623"/>
      <c r="N1" s="623"/>
      <c r="O1" s="623"/>
      <c r="P1" s="623"/>
      <c r="Q1" s="623"/>
      <c r="R1" s="623"/>
      <c r="S1" s="623"/>
      <c r="T1" s="623"/>
      <c r="U1" s="623"/>
      <c r="V1" s="623"/>
      <c r="W1" s="623"/>
      <c r="X1" s="623"/>
      <c r="Y1" s="623"/>
      <c r="Z1" s="623"/>
      <c r="AA1" s="624"/>
      <c r="AB1" s="622"/>
      <c r="AC1" s="622"/>
      <c r="AD1" s="622"/>
      <c r="AE1" s="622"/>
      <c r="AF1" s="622"/>
      <c r="AG1" s="622"/>
      <c r="AH1" s="622"/>
      <c r="AI1" s="622"/>
      <c r="AJ1" s="622"/>
      <c r="AK1" s="622"/>
      <c r="AL1" s="622"/>
      <c r="AM1" s="622"/>
      <c r="AN1" s="622"/>
    </row>
    <row r="2" spans="1:40" ht="10.199999999999999" customHeight="1">
      <c r="A2" s="625"/>
      <c r="B2" s="625"/>
      <c r="C2" s="625"/>
      <c r="D2" s="625"/>
      <c r="E2" s="625"/>
      <c r="F2" s="625"/>
      <c r="G2" s="625"/>
      <c r="H2" s="625"/>
      <c r="I2" s="625"/>
      <c r="J2" s="625"/>
      <c r="K2" s="625"/>
      <c r="L2" s="625"/>
      <c r="M2" s="625"/>
      <c r="N2" s="625"/>
      <c r="O2" s="625"/>
      <c r="P2" s="625"/>
      <c r="Q2" s="625"/>
      <c r="R2" s="625"/>
      <c r="S2" s="625"/>
      <c r="T2" s="625"/>
      <c r="U2" s="625"/>
      <c r="V2" s="625"/>
      <c r="W2" s="625"/>
      <c r="X2" s="625"/>
      <c r="Y2" s="625"/>
      <c r="Z2" s="625"/>
      <c r="AA2" s="626"/>
      <c r="AB2" s="625"/>
      <c r="AC2" s="625"/>
      <c r="AD2" s="625"/>
      <c r="AE2" s="625"/>
      <c r="AF2" s="625"/>
      <c r="AG2" s="625"/>
      <c r="AH2" s="625"/>
      <c r="AI2" s="625"/>
      <c r="AJ2" s="625"/>
      <c r="AK2" s="625"/>
      <c r="AL2" s="625"/>
      <c r="AM2" s="625"/>
      <c r="AN2" s="625"/>
    </row>
    <row r="3" spans="1:40" ht="15.6" customHeight="1">
      <c r="A3" s="627"/>
      <c r="B3" s="628" t="s">
        <v>125</v>
      </c>
      <c r="C3" s="629"/>
      <c r="D3" s="629"/>
      <c r="E3" s="630"/>
      <c r="F3" s="630"/>
      <c r="G3" s="630"/>
      <c r="H3" s="630"/>
      <c r="I3" s="630"/>
      <c r="J3" s="630"/>
      <c r="K3" s="630"/>
      <c r="L3" s="630"/>
      <c r="M3" s="630"/>
      <c r="N3" s="630"/>
      <c r="O3" s="630"/>
      <c r="P3" s="630"/>
      <c r="Q3" s="630"/>
      <c r="R3" s="630"/>
      <c r="S3" s="630"/>
      <c r="T3" s="630"/>
      <c r="U3" s="630"/>
      <c r="V3" s="630"/>
      <c r="W3" s="630"/>
      <c r="X3" s="630"/>
      <c r="Y3" s="629"/>
      <c r="Z3" s="629"/>
      <c r="AA3" s="631"/>
      <c r="AB3" s="632"/>
      <c r="AC3" s="633"/>
      <c r="AD3" s="633"/>
      <c r="AE3" s="633"/>
      <c r="AF3" s="633"/>
      <c r="AG3" s="633"/>
      <c r="AH3" s="633"/>
      <c r="AI3" s="633"/>
      <c r="AJ3" s="633"/>
      <c r="AK3" s="633"/>
      <c r="AL3" s="633"/>
      <c r="AM3" s="633"/>
      <c r="AN3" s="634"/>
    </row>
    <row r="4" spans="1:40" ht="15.6" customHeight="1">
      <c r="A4" s="625"/>
      <c r="B4" s="635"/>
      <c r="C4" s="632"/>
      <c r="D4" s="627"/>
      <c r="E4" s="636" t="s">
        <v>126</v>
      </c>
      <c r="F4" s="637" t="s">
        <v>127</v>
      </c>
      <c r="G4" s="637"/>
      <c r="H4" s="638"/>
      <c r="I4" s="639"/>
      <c r="J4" s="640" t="s">
        <v>128</v>
      </c>
      <c r="K4" s="637"/>
      <c r="L4" s="637"/>
      <c r="M4" s="639"/>
      <c r="N4" s="637" t="s">
        <v>129</v>
      </c>
      <c r="O4" s="637"/>
      <c r="P4" s="637"/>
      <c r="Q4" s="639"/>
      <c r="R4" s="637" t="s">
        <v>130</v>
      </c>
      <c r="S4" s="637"/>
      <c r="T4" s="637"/>
      <c r="U4" s="639"/>
      <c r="V4" s="637" t="s">
        <v>131</v>
      </c>
      <c r="W4" s="637"/>
      <c r="X4" s="638"/>
      <c r="Y4" s="641"/>
      <c r="Z4" s="642"/>
      <c r="AA4" s="643"/>
      <c r="AB4" s="644"/>
      <c r="AC4" s="645"/>
      <c r="AD4" s="645"/>
      <c r="AE4" s="645"/>
      <c r="AF4" s="645"/>
      <c r="AG4" s="645"/>
      <c r="AH4" s="645"/>
      <c r="AI4" s="645"/>
      <c r="AJ4" s="645"/>
      <c r="AK4" s="645"/>
      <c r="AL4" s="645"/>
      <c r="AM4" s="645"/>
      <c r="AN4" s="646"/>
    </row>
    <row r="5" spans="1:40" ht="15.6" customHeight="1">
      <c r="A5" s="625"/>
      <c r="B5" s="647"/>
      <c r="C5" s="644"/>
      <c r="D5" s="648"/>
      <c r="E5" s="649" t="s">
        <v>132</v>
      </c>
      <c r="F5" s="760" t="s">
        <v>22</v>
      </c>
      <c r="G5" s="760" t="s">
        <v>21</v>
      </c>
      <c r="H5" s="760"/>
      <c r="I5" s="651"/>
      <c r="J5" s="760" t="s">
        <v>78</v>
      </c>
      <c r="K5" s="760"/>
      <c r="L5" s="760"/>
      <c r="M5" s="651"/>
      <c r="N5" s="760" t="s">
        <v>43</v>
      </c>
      <c r="O5" s="760"/>
      <c r="P5" s="760"/>
      <c r="Q5" s="651"/>
      <c r="R5" s="760" t="s">
        <v>140</v>
      </c>
      <c r="S5" s="760"/>
      <c r="T5" s="760"/>
      <c r="U5" s="651"/>
      <c r="V5" s="760"/>
      <c r="W5" s="760"/>
      <c r="X5" s="760"/>
      <c r="Y5" s="652"/>
      <c r="Z5" s="653"/>
      <c r="AA5" s="654"/>
      <c r="AB5" s="644"/>
      <c r="AC5" s="645"/>
      <c r="AD5" s="645"/>
      <c r="AE5" s="645"/>
      <c r="AF5" s="645"/>
      <c r="AG5" s="645"/>
      <c r="AH5" s="645"/>
      <c r="AI5" s="645"/>
      <c r="AJ5" s="645"/>
      <c r="AK5" s="645"/>
      <c r="AL5" s="645"/>
      <c r="AM5" s="645"/>
      <c r="AN5" s="646"/>
    </row>
    <row r="6" spans="1:40" ht="15.6" customHeight="1">
      <c r="A6" s="625"/>
      <c r="B6" s="647"/>
      <c r="C6" s="644"/>
      <c r="D6" s="648"/>
      <c r="E6" s="649" t="s">
        <v>133</v>
      </c>
      <c r="F6" s="760" t="s">
        <v>22</v>
      </c>
      <c r="G6" s="760" t="s">
        <v>21</v>
      </c>
      <c r="H6" s="760"/>
      <c r="I6" s="651"/>
      <c r="J6" s="760" t="s">
        <v>78</v>
      </c>
      <c r="K6" s="760"/>
      <c r="L6" s="760"/>
      <c r="M6" s="651"/>
      <c r="N6" s="760"/>
      <c r="O6" s="760" t="s">
        <v>43</v>
      </c>
      <c r="P6" s="760"/>
      <c r="Q6" s="651"/>
      <c r="R6" s="760"/>
      <c r="S6" s="760" t="s">
        <v>140</v>
      </c>
      <c r="T6" s="760"/>
      <c r="U6" s="651"/>
      <c r="V6" s="760"/>
      <c r="W6" s="760"/>
      <c r="X6" s="760"/>
      <c r="Y6" s="652"/>
      <c r="Z6" s="653"/>
      <c r="AA6" s="654"/>
      <c r="AB6" s="644"/>
      <c r="AC6" s="645"/>
      <c r="AD6" s="645"/>
      <c r="AE6" s="645"/>
      <c r="AF6" s="645"/>
      <c r="AG6" s="645"/>
      <c r="AH6" s="645"/>
      <c r="AI6" s="645"/>
      <c r="AJ6" s="645"/>
      <c r="AK6" s="645"/>
      <c r="AL6" s="645"/>
      <c r="AM6" s="645"/>
      <c r="AN6" s="646"/>
    </row>
    <row r="7" spans="1:40" ht="15.6" customHeight="1">
      <c r="A7" s="625"/>
      <c r="B7" s="655"/>
      <c r="C7" s="656"/>
      <c r="D7" s="657"/>
      <c r="E7" s="649" t="s">
        <v>134</v>
      </c>
      <c r="F7" s="760" t="s">
        <v>22</v>
      </c>
      <c r="G7" s="760" t="s">
        <v>21</v>
      </c>
      <c r="H7" s="760"/>
      <c r="I7" s="658"/>
      <c r="J7" s="760"/>
      <c r="K7" s="760" t="s">
        <v>42</v>
      </c>
      <c r="L7" s="760"/>
      <c r="M7" s="658"/>
      <c r="N7" s="760"/>
      <c r="O7" s="760"/>
      <c r="P7" s="760" t="s">
        <v>43</v>
      </c>
      <c r="Q7" s="658"/>
      <c r="R7" s="760"/>
      <c r="S7" s="760"/>
      <c r="T7" s="760" t="s">
        <v>140</v>
      </c>
      <c r="U7" s="658"/>
      <c r="V7" s="760"/>
      <c r="W7" s="760"/>
      <c r="X7" s="760"/>
      <c r="Y7" s="659"/>
      <c r="Z7" s="660"/>
      <c r="AA7" s="661"/>
      <c r="AB7" s="644"/>
      <c r="AC7" s="645"/>
      <c r="AD7" s="645"/>
      <c r="AE7" s="645"/>
      <c r="AF7" s="645"/>
      <c r="AG7" s="645"/>
      <c r="AH7" s="645"/>
      <c r="AI7" s="645"/>
      <c r="AJ7" s="645"/>
      <c r="AK7" s="645"/>
      <c r="AL7" s="645"/>
      <c r="AM7" s="645"/>
      <c r="AN7" s="646"/>
    </row>
    <row r="8" spans="1:40" ht="15.6" customHeight="1">
      <c r="A8" s="625"/>
      <c r="B8" s="655"/>
      <c r="C8" s="656"/>
      <c r="D8" s="660"/>
      <c r="E8" s="656"/>
      <c r="F8" s="660"/>
      <c r="G8" s="656"/>
      <c r="H8" s="660"/>
      <c r="I8" s="656"/>
      <c r="J8" s="660"/>
      <c r="K8" s="656"/>
      <c r="L8" s="660"/>
      <c r="M8" s="656"/>
      <c r="N8" s="656"/>
      <c r="O8" s="656"/>
      <c r="P8" s="656"/>
      <c r="Q8" s="656"/>
      <c r="R8" s="660"/>
      <c r="S8" s="656"/>
      <c r="T8" s="660"/>
      <c r="U8" s="656"/>
      <c r="V8" s="660"/>
      <c r="W8" s="656"/>
      <c r="X8" s="660"/>
      <c r="Y8" s="656"/>
      <c r="Z8" s="660"/>
      <c r="AA8" s="661"/>
      <c r="AB8" s="644"/>
      <c r="AC8" s="645"/>
      <c r="AD8" s="645"/>
      <c r="AE8" s="645"/>
      <c r="AF8" s="645"/>
      <c r="AG8" s="645"/>
      <c r="AH8" s="645"/>
      <c r="AI8" s="645"/>
      <c r="AJ8" s="645"/>
      <c r="AK8" s="645"/>
      <c r="AL8" s="645"/>
      <c r="AM8" s="645"/>
      <c r="AN8" s="646"/>
    </row>
    <row r="9" spans="1:40" ht="15.6" customHeight="1">
      <c r="A9" s="625"/>
      <c r="B9" s="662" t="s">
        <v>135</v>
      </c>
      <c r="C9" s="663"/>
      <c r="D9" s="664"/>
      <c r="E9" s="665"/>
      <c r="F9" s="665"/>
      <c r="G9" s="665"/>
      <c r="H9" s="665"/>
      <c r="I9" s="665"/>
      <c r="J9" s="665"/>
      <c r="K9" s="665"/>
      <c r="L9" s="665"/>
      <c r="M9" s="665"/>
      <c r="N9" s="666"/>
      <c r="O9" s="666"/>
      <c r="P9" s="666"/>
      <c r="Q9" s="666"/>
      <c r="R9" s="666"/>
      <c r="S9" s="666"/>
      <c r="T9" s="666"/>
      <c r="U9" s="666"/>
      <c r="V9" s="666"/>
      <c r="W9" s="666"/>
      <c r="X9" s="666"/>
      <c r="Y9" s="667"/>
      <c r="Z9" s="667"/>
      <c r="AA9" s="667"/>
      <c r="AB9" s="644"/>
      <c r="AC9" s="645"/>
      <c r="AD9" s="645"/>
      <c r="AE9" s="645"/>
      <c r="AF9" s="645"/>
      <c r="AG9" s="645"/>
      <c r="AH9" s="645"/>
      <c r="AI9" s="645"/>
      <c r="AJ9" s="645"/>
      <c r="AK9" s="645"/>
      <c r="AL9" s="645"/>
      <c r="AM9" s="645"/>
      <c r="AN9" s="646"/>
    </row>
    <row r="10" spans="1:40" ht="15.6" customHeight="1">
      <c r="A10" s="625"/>
      <c r="B10" s="635"/>
      <c r="C10" s="632"/>
      <c r="D10" s="627"/>
      <c r="E10" s="636" t="s">
        <v>126</v>
      </c>
      <c r="F10" s="637" t="s">
        <v>127</v>
      </c>
      <c r="G10" s="637"/>
      <c r="H10" s="638"/>
      <c r="I10" s="639"/>
      <c r="J10" s="640" t="s">
        <v>128</v>
      </c>
      <c r="K10" s="637"/>
      <c r="L10" s="637"/>
      <c r="M10" s="639"/>
      <c r="N10" s="637" t="s">
        <v>129</v>
      </c>
      <c r="O10" s="637"/>
      <c r="P10" s="637"/>
      <c r="Q10" s="639"/>
      <c r="R10" s="637" t="s">
        <v>130</v>
      </c>
      <c r="S10" s="637"/>
      <c r="T10" s="637"/>
      <c r="U10" s="639"/>
      <c r="V10" s="637" t="s">
        <v>136</v>
      </c>
      <c r="W10" s="637"/>
      <c r="X10" s="638"/>
      <c r="Y10" s="641"/>
      <c r="Z10" s="642"/>
      <c r="AA10" s="643"/>
      <c r="AB10" s="644"/>
      <c r="AC10" s="645"/>
      <c r="AD10" s="645"/>
      <c r="AE10" s="645"/>
      <c r="AF10" s="645"/>
      <c r="AG10" s="645"/>
      <c r="AH10" s="645"/>
      <c r="AI10" s="645"/>
      <c r="AJ10" s="645"/>
      <c r="AK10" s="645"/>
      <c r="AL10" s="645"/>
      <c r="AM10" s="645"/>
      <c r="AN10" s="646"/>
    </row>
    <row r="11" spans="1:40" ht="15.6" customHeight="1">
      <c r="A11" s="625"/>
      <c r="B11" s="647"/>
      <c r="C11" s="644"/>
      <c r="D11" s="648"/>
      <c r="E11" s="649" t="s">
        <v>132</v>
      </c>
      <c r="F11" s="760" t="s">
        <v>22</v>
      </c>
      <c r="G11" s="760"/>
      <c r="H11" s="760"/>
      <c r="I11" s="651"/>
      <c r="J11" s="760" t="s">
        <v>78</v>
      </c>
      <c r="K11" s="760"/>
      <c r="L11" s="760"/>
      <c r="M11" s="651"/>
      <c r="N11" s="760" t="s">
        <v>43</v>
      </c>
      <c r="O11" s="760" t="s">
        <v>9</v>
      </c>
      <c r="P11" s="760"/>
      <c r="Q11" s="651"/>
      <c r="R11" s="760"/>
      <c r="S11" s="760"/>
      <c r="T11" s="760"/>
      <c r="U11" s="651"/>
      <c r="V11" s="760"/>
      <c r="W11" s="760"/>
      <c r="X11" s="760"/>
      <c r="Y11" s="652"/>
      <c r="Z11" s="653"/>
      <c r="AA11" s="654"/>
      <c r="AB11" s="644"/>
      <c r="AC11" s="645"/>
      <c r="AD11" s="645"/>
      <c r="AE11" s="645"/>
      <c r="AF11" s="645"/>
      <c r="AG11" s="645"/>
      <c r="AH11" s="645"/>
      <c r="AI11" s="645"/>
      <c r="AJ11" s="645"/>
      <c r="AK11" s="645"/>
      <c r="AL11" s="645"/>
      <c r="AM11" s="645"/>
      <c r="AN11" s="646"/>
    </row>
    <row r="12" spans="1:40" ht="15.6" customHeight="1">
      <c r="A12" s="625"/>
      <c r="B12" s="647"/>
      <c r="C12" s="644"/>
      <c r="D12" s="648"/>
      <c r="E12" s="649" t="s">
        <v>133</v>
      </c>
      <c r="F12" s="760"/>
      <c r="G12" s="760" t="s">
        <v>79</v>
      </c>
      <c r="H12" s="760"/>
      <c r="I12" s="651"/>
      <c r="J12" s="760"/>
      <c r="K12" s="760"/>
      <c r="L12" s="760" t="s">
        <v>78</v>
      </c>
      <c r="M12" s="651"/>
      <c r="N12" s="760" t="s">
        <v>43</v>
      </c>
      <c r="O12" s="760"/>
      <c r="P12" s="760" t="s">
        <v>9</v>
      </c>
      <c r="Q12" s="651"/>
      <c r="R12" s="760"/>
      <c r="S12" s="760"/>
      <c r="T12" s="760"/>
      <c r="U12" s="651"/>
      <c r="V12" s="760"/>
      <c r="W12" s="760"/>
      <c r="X12" s="760"/>
      <c r="Y12" s="652"/>
      <c r="Z12" s="653"/>
      <c r="AA12" s="654"/>
      <c r="AB12" s="644"/>
      <c r="AC12" s="645"/>
      <c r="AD12" s="645"/>
      <c r="AE12" s="645"/>
      <c r="AF12" s="645"/>
      <c r="AG12" s="645"/>
      <c r="AH12" s="645"/>
      <c r="AI12" s="645"/>
      <c r="AJ12" s="645"/>
      <c r="AK12" s="645"/>
      <c r="AL12" s="645"/>
      <c r="AM12" s="645"/>
      <c r="AN12" s="646"/>
    </row>
    <row r="13" spans="1:40" ht="15.6" customHeight="1">
      <c r="A13" s="625"/>
      <c r="B13" s="655"/>
      <c r="C13" s="656"/>
      <c r="D13" s="657"/>
      <c r="E13" s="649" t="s">
        <v>134</v>
      </c>
      <c r="F13" s="760"/>
      <c r="G13" s="760"/>
      <c r="H13" s="760" t="s">
        <v>79</v>
      </c>
      <c r="I13" s="658"/>
      <c r="J13" s="760" t="s">
        <v>42</v>
      </c>
      <c r="K13" s="760"/>
      <c r="L13" s="760"/>
      <c r="M13" s="658"/>
      <c r="N13" s="760" t="s">
        <v>43</v>
      </c>
      <c r="O13" s="760" t="s">
        <v>9</v>
      </c>
      <c r="P13" s="760"/>
      <c r="Q13" s="658"/>
      <c r="R13" s="760"/>
      <c r="S13" s="760"/>
      <c r="T13" s="760"/>
      <c r="U13" s="658"/>
      <c r="V13" s="760"/>
      <c r="W13" s="760"/>
      <c r="X13" s="760"/>
      <c r="Y13" s="659"/>
      <c r="Z13" s="660"/>
      <c r="AA13" s="661"/>
      <c r="AB13" s="644"/>
      <c r="AC13" s="645"/>
      <c r="AD13" s="645"/>
      <c r="AE13" s="645"/>
      <c r="AF13" s="645"/>
      <c r="AG13" s="645"/>
      <c r="AH13" s="645"/>
      <c r="AI13" s="645"/>
      <c r="AJ13" s="645"/>
      <c r="AK13" s="645"/>
      <c r="AL13" s="645"/>
      <c r="AM13" s="645"/>
      <c r="AN13" s="646"/>
    </row>
    <row r="14" spans="1:40" ht="15.6" customHeight="1">
      <c r="A14" s="625"/>
      <c r="B14" s="647"/>
      <c r="C14" s="644"/>
      <c r="D14" s="644"/>
      <c r="E14" s="632"/>
      <c r="F14" s="632"/>
      <c r="G14" s="632"/>
      <c r="H14" s="632"/>
      <c r="I14" s="632"/>
      <c r="J14" s="632"/>
      <c r="K14" s="632"/>
      <c r="L14" s="632"/>
      <c r="M14" s="644"/>
      <c r="N14" s="644"/>
      <c r="O14" s="644"/>
      <c r="P14" s="644"/>
      <c r="Q14" s="632"/>
      <c r="R14" s="632"/>
      <c r="S14" s="632"/>
      <c r="T14" s="632"/>
      <c r="U14" s="632"/>
      <c r="V14" s="632"/>
      <c r="W14" s="632"/>
      <c r="X14" s="632"/>
      <c r="Y14" s="644"/>
      <c r="Z14" s="644"/>
      <c r="AA14" s="648"/>
      <c r="AB14" s="644"/>
      <c r="AC14" s="645"/>
      <c r="AD14" s="645"/>
      <c r="AE14" s="645"/>
      <c r="AF14" s="645"/>
      <c r="AG14" s="645"/>
      <c r="AH14" s="645"/>
      <c r="AI14" s="645"/>
      <c r="AJ14" s="645"/>
      <c r="AK14" s="645"/>
      <c r="AL14" s="645"/>
      <c r="AM14" s="645"/>
      <c r="AN14" s="646"/>
    </row>
    <row r="15" spans="1:40" ht="15.6" customHeight="1">
      <c r="A15" s="625"/>
      <c r="B15" s="655"/>
      <c r="C15" s="644"/>
      <c r="D15" s="644"/>
      <c r="E15" s="644"/>
      <c r="F15" s="644"/>
      <c r="G15" s="644"/>
      <c r="H15" s="644"/>
      <c r="I15" s="644"/>
      <c r="J15" s="644"/>
      <c r="K15" s="644"/>
      <c r="L15" s="644"/>
      <c r="M15" s="644"/>
      <c r="N15" s="644"/>
      <c r="O15" s="644"/>
      <c r="P15" s="644"/>
      <c r="Q15" s="644"/>
      <c r="R15" s="644"/>
      <c r="S15" s="644"/>
      <c r="T15" s="644"/>
      <c r="U15" s="644"/>
      <c r="V15" s="644"/>
      <c r="W15" s="644"/>
      <c r="X15" s="644"/>
      <c r="Y15" s="644"/>
      <c r="Z15" s="656"/>
      <c r="AA15" s="657"/>
      <c r="AB15" s="644"/>
      <c r="AC15" s="645"/>
      <c r="AD15" s="645"/>
      <c r="AE15" s="645"/>
      <c r="AF15" s="645"/>
      <c r="AG15" s="645"/>
      <c r="AH15" s="645"/>
      <c r="AI15" s="645"/>
      <c r="AJ15" s="645"/>
      <c r="AK15" s="645"/>
      <c r="AL15" s="645"/>
      <c r="AM15" s="645"/>
      <c r="AN15" s="646"/>
    </row>
    <row r="16" spans="1:40" ht="16.8" customHeight="1">
      <c r="A16" s="625"/>
      <c r="B16" s="668" t="s">
        <v>137</v>
      </c>
      <c r="C16" s="668"/>
      <c r="D16" s="669"/>
      <c r="E16" s="669"/>
      <c r="F16" s="669"/>
      <c r="G16" s="669"/>
      <c r="H16" s="669"/>
      <c r="I16" s="669"/>
      <c r="J16" s="669"/>
      <c r="K16" s="669"/>
      <c r="L16" s="669"/>
      <c r="M16" s="669"/>
      <c r="N16" s="669"/>
      <c r="O16" s="669"/>
      <c r="P16" s="669"/>
      <c r="Q16" s="669"/>
      <c r="R16" s="669"/>
      <c r="S16" s="669"/>
      <c r="T16" s="669"/>
      <c r="U16" s="669"/>
      <c r="V16" s="669"/>
      <c r="W16" s="669"/>
      <c r="X16" s="669"/>
      <c r="Y16" s="670"/>
      <c r="Z16" s="670"/>
      <c r="AA16" s="670"/>
      <c r="AB16" s="644"/>
      <c r="AC16" s="645"/>
      <c r="AD16" s="645"/>
      <c r="AE16" s="645"/>
      <c r="AF16" s="645"/>
      <c r="AG16" s="645"/>
      <c r="AH16" s="645"/>
      <c r="AI16" s="645"/>
      <c r="AJ16" s="645"/>
      <c r="AK16" s="645"/>
      <c r="AL16" s="645"/>
      <c r="AM16" s="645"/>
      <c r="AN16" s="646"/>
    </row>
    <row r="17" spans="1:40" ht="15.6" customHeight="1">
      <c r="A17" s="625"/>
      <c r="B17" s="889" t="s">
        <v>9</v>
      </c>
      <c r="C17" s="889" t="s">
        <v>41</v>
      </c>
      <c r="D17" s="889" t="s">
        <v>21</v>
      </c>
      <c r="E17" s="889" t="s">
        <v>22</v>
      </c>
      <c r="F17" s="889" t="s">
        <v>78</v>
      </c>
      <c r="G17" s="889" t="s">
        <v>42</v>
      </c>
      <c r="H17" s="889" t="s">
        <v>32</v>
      </c>
      <c r="I17" s="889" t="s">
        <v>28</v>
      </c>
      <c r="J17" s="889" t="s">
        <v>43</v>
      </c>
      <c r="K17" s="889" t="s">
        <v>71</v>
      </c>
      <c r="L17" s="889" t="s">
        <v>138</v>
      </c>
      <c r="M17" s="889" t="s">
        <v>18</v>
      </c>
      <c r="N17" s="889" t="s">
        <v>139</v>
      </c>
      <c r="O17" s="889" t="s">
        <v>23</v>
      </c>
      <c r="P17" s="889" t="s">
        <v>140</v>
      </c>
      <c r="Q17" s="889" t="s">
        <v>34</v>
      </c>
      <c r="R17" s="889" t="s">
        <v>141</v>
      </c>
      <c r="S17" s="889" t="s">
        <v>26</v>
      </c>
      <c r="T17" s="889" t="s">
        <v>35</v>
      </c>
      <c r="U17" s="889" t="s">
        <v>36</v>
      </c>
      <c r="V17" s="889" t="s">
        <v>145</v>
      </c>
      <c r="W17" s="889" t="s">
        <v>30</v>
      </c>
      <c r="X17" s="889" t="s">
        <v>14</v>
      </c>
      <c r="Y17" s="889" t="s">
        <v>38</v>
      </c>
      <c r="Z17" s="889" t="s">
        <v>142</v>
      </c>
      <c r="AA17" s="889" t="s">
        <v>41</v>
      </c>
      <c r="AB17" s="644"/>
      <c r="AC17" s="645"/>
      <c r="AD17" s="645"/>
      <c r="AE17" s="645"/>
      <c r="AF17" s="645"/>
      <c r="AG17" s="645"/>
      <c r="AH17" s="645"/>
      <c r="AI17" s="645"/>
      <c r="AJ17" s="645"/>
      <c r="AK17" s="645"/>
      <c r="AL17" s="645"/>
      <c r="AM17" s="645"/>
      <c r="AN17" s="646"/>
    </row>
    <row r="18" spans="1:40" ht="15.6" customHeight="1">
      <c r="A18" s="625"/>
      <c r="B18" s="759">
        <v>200</v>
      </c>
      <c r="C18" s="759">
        <v>277</v>
      </c>
      <c r="D18" s="759">
        <v>177</v>
      </c>
      <c r="E18" s="759">
        <v>207</v>
      </c>
      <c r="F18" s="759">
        <v>365</v>
      </c>
      <c r="G18" s="759">
        <v>340</v>
      </c>
      <c r="H18" s="759"/>
      <c r="I18" s="759">
        <v>343</v>
      </c>
      <c r="J18" s="759">
        <v>322</v>
      </c>
      <c r="K18" s="759">
        <v>519</v>
      </c>
      <c r="L18" s="759">
        <v>90</v>
      </c>
      <c r="M18" s="759"/>
      <c r="N18" s="759"/>
      <c r="O18" s="759"/>
      <c r="P18" s="759">
        <v>250</v>
      </c>
      <c r="Q18" s="759"/>
      <c r="R18" s="759"/>
      <c r="S18" s="759">
        <v>25</v>
      </c>
      <c r="T18" s="759">
        <v>25</v>
      </c>
      <c r="U18" s="759"/>
      <c r="V18" s="759"/>
      <c r="W18" s="759"/>
      <c r="X18" s="759"/>
      <c r="Y18" s="759"/>
      <c r="Z18" s="759"/>
      <c r="AA18" s="759"/>
      <c r="AB18" s="644"/>
      <c r="AC18" s="645"/>
      <c r="AD18" s="645"/>
      <c r="AE18" s="645"/>
      <c r="AF18" s="645"/>
      <c r="AG18" s="645"/>
      <c r="AH18" s="645"/>
      <c r="AI18" s="645"/>
      <c r="AJ18" s="645"/>
      <c r="AK18" s="645"/>
      <c r="AL18" s="645"/>
      <c r="AM18" s="645"/>
      <c r="AN18" s="646"/>
    </row>
    <row r="19" spans="1:40" ht="15.6" customHeight="1">
      <c r="A19" s="625"/>
      <c r="B19" s="671"/>
      <c r="C19" s="672"/>
      <c r="D19" s="673"/>
      <c r="E19" s="673"/>
      <c r="F19" s="673"/>
      <c r="G19" s="673"/>
      <c r="H19" s="673"/>
      <c r="I19" s="673"/>
      <c r="J19" s="673"/>
      <c r="K19" s="673"/>
      <c r="L19" s="673"/>
      <c r="M19" s="673"/>
      <c r="N19" s="673"/>
      <c r="O19" s="673"/>
      <c r="P19" s="673"/>
      <c r="Q19" s="673"/>
      <c r="R19" s="673"/>
      <c r="S19" s="673"/>
      <c r="T19" s="673"/>
      <c r="U19" s="673"/>
      <c r="V19" s="673"/>
      <c r="W19" s="673"/>
      <c r="X19" s="673"/>
      <c r="Y19" s="674"/>
      <c r="Z19" s="645"/>
      <c r="AA19" s="675"/>
      <c r="AB19" s="644"/>
      <c r="AC19" s="645"/>
      <c r="AD19" s="645"/>
      <c r="AE19" s="645"/>
      <c r="AF19" s="645"/>
      <c r="AG19" s="645"/>
      <c r="AH19" s="645"/>
      <c r="AI19" s="645"/>
      <c r="AJ19" s="645"/>
      <c r="AK19" s="645"/>
      <c r="AL19" s="645"/>
      <c r="AM19" s="645"/>
      <c r="AN19" s="646"/>
    </row>
    <row r="20" spans="1:40" ht="12.6" customHeight="1" thickBot="1">
      <c r="A20" s="625"/>
      <c r="B20" s="635"/>
      <c r="C20" s="632"/>
      <c r="D20" s="632"/>
      <c r="E20" s="632"/>
      <c r="F20" s="632"/>
      <c r="G20" s="632"/>
      <c r="H20" s="632"/>
      <c r="I20" s="632"/>
      <c r="J20" s="632"/>
      <c r="K20" s="632"/>
      <c r="L20" s="632"/>
      <c r="M20" s="632"/>
      <c r="N20" s="632"/>
      <c r="O20" s="632"/>
      <c r="P20" s="632"/>
      <c r="Q20" s="632"/>
      <c r="R20" s="632"/>
      <c r="S20" s="632"/>
      <c r="T20" s="632"/>
      <c r="U20" s="632"/>
      <c r="V20" s="632"/>
      <c r="W20" s="632"/>
      <c r="X20" s="632"/>
      <c r="Y20" s="632"/>
      <c r="Z20" s="632"/>
      <c r="AA20" s="627"/>
      <c r="AB20" s="644"/>
      <c r="AC20" s="645"/>
      <c r="AD20" s="645"/>
      <c r="AE20" s="645"/>
      <c r="AF20" s="645"/>
      <c r="AG20" s="645"/>
      <c r="AH20" s="645"/>
      <c r="AI20" s="645"/>
      <c r="AJ20" s="645"/>
      <c r="AK20" s="645"/>
      <c r="AL20" s="645"/>
      <c r="AM20" s="645"/>
      <c r="AN20" s="646"/>
    </row>
    <row r="21" spans="1:40" ht="16.8" customHeight="1" thickBot="1">
      <c r="A21" s="625"/>
      <c r="B21" s="826"/>
      <c r="C21" s="814" t="s">
        <v>80</v>
      </c>
      <c r="D21" s="676" t="s">
        <v>143</v>
      </c>
      <c r="E21" s="676" t="s">
        <v>144</v>
      </c>
      <c r="F21" s="676" t="s">
        <v>83</v>
      </c>
      <c r="G21" s="676" t="s">
        <v>11</v>
      </c>
      <c r="H21" s="676" t="s">
        <v>12</v>
      </c>
      <c r="I21" s="676" t="s">
        <v>14</v>
      </c>
      <c r="J21" s="676" t="s">
        <v>145</v>
      </c>
      <c r="K21" s="676" t="s">
        <v>38</v>
      </c>
      <c r="L21" s="813"/>
      <c r="M21" s="903"/>
      <c r="N21" s="904"/>
      <c r="O21" s="905"/>
      <c r="P21" s="813"/>
      <c r="Q21" s="810" t="s">
        <v>146</v>
      </c>
      <c r="R21" s="821"/>
      <c r="S21" s="779"/>
      <c r="T21" s="1199" t="s">
        <v>147</v>
      </c>
      <c r="U21" s="1200"/>
      <c r="V21" s="818"/>
      <c r="W21" s="928" t="s">
        <v>195</v>
      </c>
      <c r="X21" s="927"/>
      <c r="Y21" s="918"/>
      <c r="Z21" s="921"/>
      <c r="AA21" s="813"/>
      <c r="AB21" s="644"/>
      <c r="AC21" s="645"/>
      <c r="AD21" s="645"/>
      <c r="AE21" s="645"/>
      <c r="AF21" s="645"/>
      <c r="AG21" s="645"/>
      <c r="AH21" s="645"/>
      <c r="AI21" s="645"/>
      <c r="AJ21" s="645"/>
      <c r="AK21" s="645"/>
      <c r="AL21" s="645"/>
      <c r="AM21" s="645"/>
      <c r="AN21" s="646"/>
    </row>
    <row r="22" spans="1:40" ht="18.600000000000001" customHeight="1" thickBot="1">
      <c r="A22" s="625"/>
      <c r="B22" s="931" t="s">
        <v>197</v>
      </c>
      <c r="C22" s="817">
        <v>200</v>
      </c>
      <c r="D22" s="817">
        <v>100</v>
      </c>
      <c r="E22" s="817">
        <v>100</v>
      </c>
      <c r="F22" s="817"/>
      <c r="G22" s="817">
        <v>30</v>
      </c>
      <c r="H22" s="817"/>
      <c r="I22" s="817"/>
      <c r="J22" s="817"/>
      <c r="K22" s="817"/>
      <c r="L22" s="818"/>
      <c r="M22" s="906"/>
      <c r="N22" s="907"/>
      <c r="O22" s="908"/>
      <c r="P22" s="822"/>
      <c r="Q22" s="811" t="s">
        <v>113</v>
      </c>
      <c r="R22" s="823">
        <v>0</v>
      </c>
      <c r="S22" s="824"/>
      <c r="T22" s="811" t="s">
        <v>113</v>
      </c>
      <c r="U22" s="812">
        <v>0</v>
      </c>
      <c r="V22" s="818"/>
      <c r="W22" s="930" t="s">
        <v>199</v>
      </c>
      <c r="X22" s="929">
        <f>IFERROR(IF(W22="North America",16.2,IF(W22="China",10.8,IF(W22="Brazil",13.1,IF(W22="LAM",9.1,IF(W22="India",9.1,IF(W22="Europe",20.1,IF(W22="SE Asia",9.7,IF(W22="SS-Africa",3.6,IF(W22="ROW",14.8,IF(W22="Select Region",0)))))))))),"")</f>
        <v>16.2</v>
      </c>
      <c r="Y22" s="919"/>
      <c r="Z22" s="922"/>
      <c r="AA22" s="818"/>
      <c r="AB22" s="644"/>
      <c r="AC22" s="645"/>
      <c r="AD22" s="645"/>
      <c r="AE22" s="645"/>
      <c r="AF22" s="645"/>
      <c r="AG22" s="645"/>
      <c r="AH22" s="645"/>
      <c r="AI22" s="645"/>
      <c r="AJ22" s="645"/>
      <c r="AK22" s="645"/>
      <c r="AL22" s="645"/>
      <c r="AM22" s="645"/>
      <c r="AN22" s="646"/>
    </row>
    <row r="23" spans="1:40" ht="15" customHeight="1" thickBot="1">
      <c r="A23" s="625"/>
      <c r="B23" s="917" t="s">
        <v>186</v>
      </c>
      <c r="C23" s="815"/>
      <c r="D23" s="815"/>
      <c r="E23" s="815"/>
      <c r="F23" s="825" t="s">
        <v>196</v>
      </c>
      <c r="G23" s="825" t="s">
        <v>96</v>
      </c>
      <c r="H23" s="815"/>
      <c r="I23" s="815"/>
      <c r="J23" s="815"/>
      <c r="K23" s="815"/>
      <c r="L23" s="815"/>
      <c r="M23" s="909"/>
      <c r="N23" s="910"/>
      <c r="O23" s="911"/>
      <c r="P23" s="815"/>
      <c r="Q23" s="815"/>
      <c r="R23" s="815"/>
      <c r="S23" s="815"/>
      <c r="T23" s="815"/>
      <c r="U23" s="815"/>
      <c r="V23" s="818"/>
      <c r="W23" s="819"/>
      <c r="X23" s="820"/>
      <c r="Y23" s="920"/>
      <c r="Z23" s="923"/>
      <c r="AA23" s="815"/>
      <c r="AB23" s="644"/>
      <c r="AC23" s="645"/>
      <c r="AD23" s="645"/>
      <c r="AE23" s="645"/>
      <c r="AF23" s="645"/>
      <c r="AG23" s="645"/>
      <c r="AH23" s="645"/>
      <c r="AI23" s="645"/>
      <c r="AJ23" s="645"/>
      <c r="AK23" s="645"/>
      <c r="AL23" s="645"/>
      <c r="AM23" s="645"/>
      <c r="AN23" s="646"/>
    </row>
    <row r="24" spans="1:40" ht="15.6" customHeight="1">
      <c r="A24" s="625"/>
      <c r="B24" s="655"/>
      <c r="C24" s="625"/>
      <c r="D24" s="625"/>
      <c r="E24" s="625"/>
      <c r="F24" s="625"/>
      <c r="G24" s="625"/>
      <c r="H24" s="625"/>
      <c r="I24" s="625"/>
      <c r="J24" s="625"/>
      <c r="K24" s="625"/>
      <c r="L24" s="625"/>
      <c r="M24" s="625"/>
      <c r="N24" s="625"/>
      <c r="O24" s="625"/>
      <c r="P24" s="625"/>
      <c r="Q24" s="625"/>
      <c r="R24" s="625"/>
      <c r="S24" s="625"/>
      <c r="T24" s="625"/>
      <c r="U24" s="625"/>
      <c r="V24" s="625"/>
      <c r="W24" s="625"/>
      <c r="X24" s="625"/>
      <c r="Y24" s="625"/>
      <c r="Z24" s="625"/>
      <c r="AA24" s="816"/>
      <c r="AB24" s="644"/>
      <c r="AC24" s="645"/>
      <c r="AD24" s="645"/>
      <c r="AE24" s="645"/>
      <c r="AF24" s="645"/>
      <c r="AG24" s="645"/>
      <c r="AH24" s="645"/>
      <c r="AI24" s="645"/>
      <c r="AJ24" s="645"/>
      <c r="AK24" s="645"/>
      <c r="AL24" s="645"/>
      <c r="AM24" s="645"/>
      <c r="AN24" s="646"/>
    </row>
    <row r="25" spans="1:40" ht="15.6" customHeight="1">
      <c r="A25" s="625"/>
      <c r="B25" s="677" t="s">
        <v>188</v>
      </c>
      <c r="C25" s="630"/>
      <c r="D25" s="630"/>
      <c r="E25" s="630"/>
      <c r="F25" s="630"/>
      <c r="G25" s="630"/>
      <c r="H25" s="630"/>
      <c r="I25" s="630"/>
      <c r="J25" s="630"/>
      <c r="K25" s="630"/>
      <c r="L25" s="630"/>
      <c r="M25" s="678"/>
      <c r="N25" s="777"/>
      <c r="O25" s="680" t="s">
        <v>189</v>
      </c>
      <c r="P25" s="665"/>
      <c r="Q25" s="665"/>
      <c r="R25" s="665"/>
      <c r="S25" s="665"/>
      <c r="T25" s="665"/>
      <c r="U25" s="665"/>
      <c r="V25" s="665"/>
      <c r="W25" s="665"/>
      <c r="X25" s="665"/>
      <c r="Y25" s="665"/>
      <c r="Z25" s="665"/>
      <c r="AA25" s="666"/>
      <c r="AB25" s="644"/>
      <c r="AC25" s="645"/>
      <c r="AD25" s="645"/>
      <c r="AE25" s="645"/>
      <c r="AF25" s="645"/>
      <c r="AG25" s="645"/>
      <c r="AH25" s="645"/>
      <c r="AI25" s="645"/>
      <c r="AJ25" s="645"/>
      <c r="AK25" s="645"/>
      <c r="AL25" s="645"/>
      <c r="AM25" s="645"/>
      <c r="AN25" s="646"/>
    </row>
    <row r="26" spans="1:40" ht="15.6" customHeight="1">
      <c r="A26" s="625"/>
      <c r="B26" s="681"/>
      <c r="C26" s="682" t="s">
        <v>0</v>
      </c>
      <c r="D26" s="682" t="s">
        <v>1</v>
      </c>
      <c r="E26" s="682" t="s">
        <v>2</v>
      </c>
      <c r="F26" s="682" t="s">
        <v>3</v>
      </c>
      <c r="G26" s="682" t="s">
        <v>4</v>
      </c>
      <c r="H26" s="682" t="s">
        <v>5</v>
      </c>
      <c r="I26" s="682" t="s">
        <v>6</v>
      </c>
      <c r="J26" s="682" t="s">
        <v>7</v>
      </c>
      <c r="K26" s="682" t="s">
        <v>8</v>
      </c>
      <c r="L26" s="682" t="s">
        <v>149</v>
      </c>
      <c r="M26" s="682" t="s">
        <v>185</v>
      </c>
      <c r="N26" s="679"/>
      <c r="O26" s="890"/>
      <c r="P26" s="683" t="s">
        <v>0</v>
      </c>
      <c r="Q26" s="683" t="s">
        <v>1</v>
      </c>
      <c r="R26" s="683" t="s">
        <v>2</v>
      </c>
      <c r="S26" s="683" t="s">
        <v>3</v>
      </c>
      <c r="T26" s="683" t="s">
        <v>4</v>
      </c>
      <c r="U26" s="683" t="s">
        <v>5</v>
      </c>
      <c r="V26" s="683" t="s">
        <v>6</v>
      </c>
      <c r="W26" s="683" t="s">
        <v>7</v>
      </c>
      <c r="X26" s="683" t="s">
        <v>8</v>
      </c>
      <c r="Y26" s="683" t="s">
        <v>149</v>
      </c>
      <c r="Z26" s="684" t="s">
        <v>185</v>
      </c>
      <c r="AA26" s="685" t="s">
        <v>151</v>
      </c>
      <c r="AB26" s="644"/>
      <c r="AC26" s="645"/>
      <c r="AD26" s="645"/>
      <c r="AE26" s="645"/>
      <c r="AF26" s="645"/>
      <c r="AG26" s="645"/>
      <c r="AH26" s="645"/>
      <c r="AI26" s="645"/>
      <c r="AJ26" s="645"/>
      <c r="AK26" s="645"/>
      <c r="AL26" s="645"/>
      <c r="AM26" s="645"/>
      <c r="AN26" s="646"/>
    </row>
    <row r="27" spans="1:40" ht="15.6" customHeight="1">
      <c r="A27" s="625"/>
      <c r="B27" s="686"/>
      <c r="C27" s="687" t="str">
        <f t="shared" ref="C27:L27" si="0">IFERROR(IF(C189="","",C189),"")</f>
        <v>AN</v>
      </c>
      <c r="D27" s="687" t="str">
        <f t="shared" si="0"/>
        <v>AS</v>
      </c>
      <c r="E27" s="687" t="str">
        <f t="shared" si="0"/>
        <v>DAP</v>
      </c>
      <c r="F27" s="687" t="str">
        <f t="shared" si="0"/>
        <v>MOP</v>
      </c>
      <c r="G27" s="687" t="str">
        <f t="shared" si="0"/>
        <v>Kieserite</v>
      </c>
      <c r="H27" s="687" t="str">
        <f t="shared" si="0"/>
        <v/>
      </c>
      <c r="I27" s="687" t="str">
        <f t="shared" si="0"/>
        <v/>
      </c>
      <c r="J27" s="687" t="str">
        <f t="shared" si="0"/>
        <v/>
      </c>
      <c r="K27" s="687" t="str">
        <f t="shared" si="0"/>
        <v/>
      </c>
      <c r="L27" s="687" t="str">
        <f t="shared" si="0"/>
        <v/>
      </c>
      <c r="M27" s="688"/>
      <c r="N27" s="679"/>
      <c r="O27" s="686"/>
      <c r="P27" s="689" t="str">
        <f t="shared" ref="P27:Y27" si="1">IFERROR(IF(P189="","",P189),"")</f>
        <v>AN</v>
      </c>
      <c r="Q27" s="689" t="str">
        <f t="shared" si="1"/>
        <v>DAP</v>
      </c>
      <c r="R27" s="689" t="str">
        <f t="shared" si="1"/>
        <v>MOP</v>
      </c>
      <c r="S27" s="689" t="str">
        <f t="shared" si="1"/>
        <v>POLY4</v>
      </c>
      <c r="T27" s="689" t="str">
        <f t="shared" si="1"/>
        <v/>
      </c>
      <c r="U27" s="689" t="str">
        <f t="shared" si="1"/>
        <v/>
      </c>
      <c r="V27" s="689" t="str">
        <f t="shared" si="1"/>
        <v/>
      </c>
      <c r="W27" s="689" t="str">
        <f t="shared" si="1"/>
        <v/>
      </c>
      <c r="X27" s="689" t="str">
        <f t="shared" si="1"/>
        <v/>
      </c>
      <c r="Y27" s="689" t="str">
        <f t="shared" si="1"/>
        <v/>
      </c>
      <c r="Z27" s="690"/>
      <c r="AA27" s="675"/>
      <c r="AB27" s="644"/>
      <c r="AC27" s="645"/>
      <c r="AD27" s="645"/>
      <c r="AE27" s="645"/>
      <c r="AF27" s="645"/>
      <c r="AG27" s="645"/>
      <c r="AH27" s="645"/>
      <c r="AI27" s="645"/>
      <c r="AJ27" s="645"/>
      <c r="AK27" s="645"/>
      <c r="AL27" s="645"/>
      <c r="AM27" s="645"/>
      <c r="AN27" s="646"/>
    </row>
    <row r="28" spans="1:40" ht="15.6" customHeight="1">
      <c r="A28" s="625"/>
      <c r="B28" s="1196" t="s">
        <v>190</v>
      </c>
      <c r="C28" s="898">
        <f>IFERROR(IF(C190="","",C190),"")</f>
        <v>473.14578299232733</v>
      </c>
      <c r="D28" s="898">
        <f t="shared" ref="D28:L28" si="2">IFERROR(IF(D190="","",D190),"")</f>
        <v>0</v>
      </c>
      <c r="E28" s="898">
        <f t="shared" si="2"/>
        <v>217.39130434782609</v>
      </c>
      <c r="F28" s="898">
        <f t="shared" si="2"/>
        <v>166.66666666666671</v>
      </c>
      <c r="G28" s="898">
        <f t="shared" si="2"/>
        <v>120</v>
      </c>
      <c r="H28" s="898" t="str">
        <f t="shared" si="2"/>
        <v/>
      </c>
      <c r="I28" s="898" t="str">
        <f t="shared" si="2"/>
        <v/>
      </c>
      <c r="J28" s="898" t="str">
        <f t="shared" si="2"/>
        <v/>
      </c>
      <c r="K28" s="898" t="str">
        <f t="shared" si="2"/>
        <v/>
      </c>
      <c r="L28" s="898" t="str">
        <f t="shared" si="2"/>
        <v/>
      </c>
      <c r="M28" s="899">
        <f>IF(SUM(C28:L28)=0,"",SUM(C28:L28))</f>
        <v>977.20375400682019</v>
      </c>
      <c r="N28" s="679"/>
      <c r="O28" s="1198" t="s">
        <v>192</v>
      </c>
      <c r="P28" s="900">
        <f>IFERROR(IF(P190="","",P190),"")</f>
        <v>473.14578299232733</v>
      </c>
      <c r="Q28" s="900">
        <f t="shared" ref="Q28:Y28" si="3">IFERROR(IF(Q190="","",Q190),"")</f>
        <v>217.39130434782606</v>
      </c>
      <c r="R28" s="900">
        <f t="shared" si="3"/>
        <v>166.66666666666671</v>
      </c>
      <c r="S28" s="900">
        <f t="shared" si="3"/>
        <v>0</v>
      </c>
      <c r="T28" s="900" t="str">
        <f t="shared" si="3"/>
        <v/>
      </c>
      <c r="U28" s="900" t="str">
        <f t="shared" si="3"/>
        <v/>
      </c>
      <c r="V28" s="900" t="str">
        <f t="shared" si="3"/>
        <v/>
      </c>
      <c r="W28" s="900" t="str">
        <f t="shared" si="3"/>
        <v/>
      </c>
      <c r="X28" s="900" t="str">
        <f t="shared" si="3"/>
        <v/>
      </c>
      <c r="Y28" s="900" t="str">
        <f t="shared" si="3"/>
        <v/>
      </c>
      <c r="Z28" s="899">
        <f>IF(SUM(P28:Y28)=0,"",SUM(P28:Y28))</f>
        <v>857.20375400682019</v>
      </c>
      <c r="AA28" s="890"/>
      <c r="AB28" s="644"/>
      <c r="AC28" s="645"/>
      <c r="AD28" s="645"/>
      <c r="AE28" s="645"/>
      <c r="AF28" s="645"/>
      <c r="AG28" s="645"/>
      <c r="AH28" s="645"/>
      <c r="AI28" s="645"/>
      <c r="AJ28" s="645"/>
      <c r="AK28" s="645"/>
      <c r="AL28" s="645"/>
      <c r="AM28" s="645"/>
      <c r="AN28" s="646"/>
    </row>
    <row r="29" spans="1:40" ht="15.6" customHeight="1">
      <c r="A29" s="625"/>
      <c r="B29" s="1197"/>
      <c r="C29" s="692"/>
      <c r="D29" s="693"/>
      <c r="E29" s="693"/>
      <c r="F29" s="693"/>
      <c r="G29" s="693"/>
      <c r="H29" s="693"/>
      <c r="I29" s="693"/>
      <c r="J29" s="693"/>
      <c r="K29" s="693"/>
      <c r="L29" s="694"/>
      <c r="M29" s="682" t="s">
        <v>187</v>
      </c>
      <c r="N29" s="679"/>
      <c r="O29" s="1197"/>
      <c r="P29" s="692"/>
      <c r="Q29" s="693"/>
      <c r="R29" s="693"/>
      <c r="S29" s="693"/>
      <c r="T29" s="693"/>
      <c r="U29" s="693"/>
      <c r="V29" s="693"/>
      <c r="W29" s="693"/>
      <c r="X29" s="693"/>
      <c r="Y29" s="694"/>
      <c r="Z29" s="684" t="s">
        <v>187</v>
      </c>
      <c r="AA29" s="891"/>
      <c r="AB29" s="644"/>
      <c r="AC29" s="645"/>
      <c r="AD29" s="645"/>
      <c r="AE29" s="645"/>
      <c r="AF29" s="645"/>
      <c r="AG29" s="645"/>
      <c r="AH29" s="645"/>
      <c r="AI29" s="645"/>
      <c r="AJ29" s="645"/>
      <c r="AK29" s="645"/>
      <c r="AL29" s="645"/>
      <c r="AM29" s="645"/>
      <c r="AN29" s="646"/>
    </row>
    <row r="30" spans="1:40" ht="15.6" customHeight="1">
      <c r="A30" s="625"/>
      <c r="B30" s="686"/>
      <c r="C30" s="695" t="s">
        <v>154</v>
      </c>
      <c r="D30" s="695" t="s">
        <v>155</v>
      </c>
      <c r="E30" s="695" t="s">
        <v>156</v>
      </c>
      <c r="F30" s="695" t="s">
        <v>83</v>
      </c>
      <c r="G30" s="695" t="s">
        <v>11</v>
      </c>
      <c r="H30" s="695" t="s">
        <v>12</v>
      </c>
      <c r="I30" s="695" t="s">
        <v>14</v>
      </c>
      <c r="J30" s="695" t="s">
        <v>38</v>
      </c>
      <c r="K30" s="695" t="s">
        <v>145</v>
      </c>
      <c r="L30" s="695" t="s">
        <v>13</v>
      </c>
      <c r="M30" s="1190">
        <f>IF(M192="","",M192)</f>
        <v>276.78637064794543</v>
      </c>
      <c r="N30" s="679"/>
      <c r="O30" s="686"/>
      <c r="P30" s="696" t="s">
        <v>154</v>
      </c>
      <c r="Q30" s="696" t="s">
        <v>155</v>
      </c>
      <c r="R30" s="696" t="s">
        <v>156</v>
      </c>
      <c r="S30" s="696" t="s">
        <v>83</v>
      </c>
      <c r="T30" s="696" t="s">
        <v>11</v>
      </c>
      <c r="U30" s="696" t="s">
        <v>12</v>
      </c>
      <c r="V30" s="696" t="s">
        <v>14</v>
      </c>
      <c r="W30" s="696" t="s">
        <v>38</v>
      </c>
      <c r="X30" s="696" t="s">
        <v>145</v>
      </c>
      <c r="Y30" s="696" t="s">
        <v>13</v>
      </c>
      <c r="Z30" s="1192">
        <f>SUMPRODUCT(P28:Y28,P191:Y191)*0.001</f>
        <v>230.95566983303499</v>
      </c>
      <c r="AA30" s="1181" t="str">
        <f>IFERROR($B$18-((Z30-M30)/S28)*1000,"")</f>
        <v/>
      </c>
      <c r="AB30" s="644"/>
      <c r="AC30" s="645"/>
      <c r="AD30" s="645"/>
      <c r="AE30" s="645"/>
      <c r="AF30" s="645"/>
      <c r="AG30" s="645"/>
      <c r="AH30" s="645"/>
      <c r="AI30" s="645"/>
      <c r="AJ30" s="645"/>
      <c r="AK30" s="645"/>
      <c r="AL30" s="645"/>
      <c r="AM30" s="645"/>
      <c r="AN30" s="646"/>
    </row>
    <row r="31" spans="1:40" ht="15.6" customHeight="1">
      <c r="A31" s="625"/>
      <c r="B31" s="697"/>
      <c r="C31" s="698">
        <f t="shared" ref="C31:L31" si="4">IFERROR(IF(C193="","",C193),"")</f>
        <v>200.000001</v>
      </c>
      <c r="D31" s="698">
        <f t="shared" si="4"/>
        <v>100.00000000000001</v>
      </c>
      <c r="E31" s="698">
        <f t="shared" si="4"/>
        <v>100.00000000000003</v>
      </c>
      <c r="F31" s="699">
        <f t="shared" si="4"/>
        <v>24</v>
      </c>
      <c r="G31" s="699">
        <f t="shared" si="4"/>
        <v>30</v>
      </c>
      <c r="H31" s="699">
        <f t="shared" si="4"/>
        <v>0</v>
      </c>
      <c r="I31" s="698">
        <f t="shared" si="4"/>
        <v>0</v>
      </c>
      <c r="J31" s="698">
        <f t="shared" si="4"/>
        <v>0</v>
      </c>
      <c r="K31" s="698">
        <f t="shared" si="4"/>
        <v>0</v>
      </c>
      <c r="L31" s="699">
        <f t="shared" si="4"/>
        <v>80.000000000000014</v>
      </c>
      <c r="M31" s="1191"/>
      <c r="N31" s="924"/>
      <c r="O31" s="697"/>
      <c r="P31" s="701">
        <f t="shared" ref="P31:Y31" si="5">IFERROR(IF(P193="","",P193),"")</f>
        <v>200.000001</v>
      </c>
      <c r="Q31" s="701">
        <f t="shared" si="5"/>
        <v>100</v>
      </c>
      <c r="R31" s="701">
        <f t="shared" si="5"/>
        <v>100.00000000000003</v>
      </c>
      <c r="S31" s="700">
        <f t="shared" si="5"/>
        <v>0</v>
      </c>
      <c r="T31" s="700">
        <f t="shared" si="5"/>
        <v>0</v>
      </c>
      <c r="U31" s="700">
        <f t="shared" si="5"/>
        <v>0</v>
      </c>
      <c r="V31" s="701">
        <f t="shared" si="5"/>
        <v>0</v>
      </c>
      <c r="W31" s="701">
        <f t="shared" si="5"/>
        <v>0</v>
      </c>
      <c r="X31" s="701">
        <f t="shared" si="5"/>
        <v>0</v>
      </c>
      <c r="Y31" s="700">
        <f t="shared" si="5"/>
        <v>80.000000000000014</v>
      </c>
      <c r="Z31" s="1191"/>
      <c r="AA31" s="1193"/>
      <c r="AB31" s="644"/>
      <c r="AC31" s="645"/>
      <c r="AD31" s="645"/>
      <c r="AE31" s="645"/>
      <c r="AF31" s="645"/>
      <c r="AG31" s="645"/>
      <c r="AH31" s="645"/>
      <c r="AI31" s="645"/>
      <c r="AJ31" s="645"/>
      <c r="AK31" s="645"/>
      <c r="AL31" s="645"/>
      <c r="AM31" s="645"/>
      <c r="AN31" s="646"/>
    </row>
    <row r="32" spans="1:40" ht="15.6" customHeight="1">
      <c r="A32" s="625"/>
      <c r="B32" s="702"/>
      <c r="C32" s="644"/>
      <c r="D32" s="644"/>
      <c r="E32" s="644"/>
      <c r="F32" s="644"/>
      <c r="G32" s="644"/>
      <c r="H32" s="644"/>
      <c r="I32" s="644"/>
      <c r="J32" s="644"/>
      <c r="K32" s="644"/>
      <c r="L32" s="644"/>
      <c r="M32" s="644"/>
      <c r="N32" s="679"/>
      <c r="O32" s="703"/>
      <c r="P32" s="644"/>
      <c r="Q32" s="644"/>
      <c r="R32" s="644"/>
      <c r="S32" s="644"/>
      <c r="T32" s="644"/>
      <c r="U32" s="644"/>
      <c r="V32" s="644"/>
      <c r="W32" s="644"/>
      <c r="X32" s="644"/>
      <c r="Y32" s="644"/>
      <c r="Z32" s="644"/>
      <c r="AA32" s="925"/>
      <c r="AB32" s="644"/>
      <c r="AC32" s="645"/>
      <c r="AD32" s="645"/>
      <c r="AE32" s="645"/>
      <c r="AF32" s="645"/>
      <c r="AG32" s="645"/>
      <c r="AH32" s="645"/>
      <c r="AI32" s="645"/>
      <c r="AJ32" s="645"/>
      <c r="AK32" s="645"/>
      <c r="AL32" s="645"/>
      <c r="AM32" s="645"/>
      <c r="AN32" s="646"/>
    </row>
    <row r="33" spans="1:40" ht="15.6" customHeight="1">
      <c r="A33" s="625"/>
      <c r="B33" s="702"/>
      <c r="C33" s="644"/>
      <c r="D33" s="644"/>
      <c r="E33" s="644"/>
      <c r="F33" s="644"/>
      <c r="G33" s="644"/>
      <c r="H33" s="644"/>
      <c r="I33" s="644"/>
      <c r="J33" s="644"/>
      <c r="K33" s="644"/>
      <c r="L33" s="644"/>
      <c r="M33" s="644"/>
      <c r="N33" s="679"/>
      <c r="O33" s="703"/>
      <c r="P33" s="644"/>
      <c r="Q33" s="644"/>
      <c r="R33" s="644"/>
      <c r="S33" s="644"/>
      <c r="T33" s="644"/>
      <c r="U33" s="644"/>
      <c r="V33" s="644"/>
      <c r="W33" s="644"/>
      <c r="X33" s="644"/>
      <c r="Y33" s="644"/>
      <c r="Z33" s="644"/>
      <c r="AA33" s="648"/>
      <c r="AB33" s="644"/>
      <c r="AC33" s="645"/>
      <c r="AD33" s="645"/>
      <c r="AE33" s="645"/>
      <c r="AF33" s="645"/>
      <c r="AG33" s="645"/>
      <c r="AH33" s="645"/>
      <c r="AI33" s="645"/>
      <c r="AJ33" s="645"/>
      <c r="AK33" s="645"/>
      <c r="AL33" s="645"/>
      <c r="AM33" s="645"/>
      <c r="AN33" s="646"/>
    </row>
    <row r="34" spans="1:40" ht="15.6" customHeight="1">
      <c r="A34" s="625"/>
      <c r="B34" s="681"/>
      <c r="C34" s="682" t="s">
        <v>0</v>
      </c>
      <c r="D34" s="682" t="s">
        <v>1</v>
      </c>
      <c r="E34" s="682" t="s">
        <v>2</v>
      </c>
      <c r="F34" s="682" t="s">
        <v>3</v>
      </c>
      <c r="G34" s="682" t="s">
        <v>4</v>
      </c>
      <c r="H34" s="682" t="s">
        <v>5</v>
      </c>
      <c r="I34" s="682" t="s">
        <v>6</v>
      </c>
      <c r="J34" s="682" t="s">
        <v>7</v>
      </c>
      <c r="K34" s="682" t="s">
        <v>8</v>
      </c>
      <c r="L34" s="682" t="s">
        <v>149</v>
      </c>
      <c r="M34" s="682" t="s">
        <v>185</v>
      </c>
      <c r="N34" s="679"/>
      <c r="O34" s="681"/>
      <c r="P34" s="683" t="s">
        <v>0</v>
      </c>
      <c r="Q34" s="683" t="s">
        <v>1</v>
      </c>
      <c r="R34" s="683" t="s">
        <v>2</v>
      </c>
      <c r="S34" s="683" t="s">
        <v>3</v>
      </c>
      <c r="T34" s="683" t="s">
        <v>4</v>
      </c>
      <c r="U34" s="683" t="s">
        <v>5</v>
      </c>
      <c r="V34" s="683" t="s">
        <v>6</v>
      </c>
      <c r="W34" s="683" t="s">
        <v>7</v>
      </c>
      <c r="X34" s="683" t="s">
        <v>8</v>
      </c>
      <c r="Y34" s="683" t="s">
        <v>149</v>
      </c>
      <c r="Z34" s="684" t="s">
        <v>185</v>
      </c>
      <c r="AA34" s="685" t="s">
        <v>151</v>
      </c>
      <c r="AB34" s="644"/>
      <c r="AC34" s="645"/>
      <c r="AD34" s="645"/>
      <c r="AE34" s="645"/>
      <c r="AF34" s="645"/>
      <c r="AG34" s="645"/>
      <c r="AH34" s="645"/>
      <c r="AI34" s="645"/>
      <c r="AJ34" s="645"/>
      <c r="AK34" s="645"/>
      <c r="AL34" s="645"/>
      <c r="AM34" s="645"/>
      <c r="AN34" s="646"/>
    </row>
    <row r="35" spans="1:40" ht="15.6" customHeight="1">
      <c r="A35" s="625"/>
      <c r="B35" s="686"/>
      <c r="C35" s="687" t="str">
        <f t="shared" ref="C35:L35" si="6">IFERROR(IF(C197="","",C197),"")</f>
        <v>AN</v>
      </c>
      <c r="D35" s="687" t="str">
        <f t="shared" si="6"/>
        <v>AS</v>
      </c>
      <c r="E35" s="687" t="str">
        <f t="shared" si="6"/>
        <v>DAP</v>
      </c>
      <c r="F35" s="687" t="str">
        <f t="shared" si="6"/>
        <v>MOP</v>
      </c>
      <c r="G35" s="687" t="str">
        <f t="shared" si="6"/>
        <v>Kieserite</v>
      </c>
      <c r="H35" s="687" t="str">
        <f t="shared" si="6"/>
        <v/>
      </c>
      <c r="I35" s="687" t="str">
        <f t="shared" si="6"/>
        <v/>
      </c>
      <c r="J35" s="687" t="str">
        <f t="shared" si="6"/>
        <v/>
      </c>
      <c r="K35" s="687" t="str">
        <f t="shared" si="6"/>
        <v/>
      </c>
      <c r="L35" s="687" t="str">
        <f t="shared" si="6"/>
        <v/>
      </c>
      <c r="M35" s="690"/>
      <c r="N35" s="679"/>
      <c r="O35" s="686"/>
      <c r="P35" s="689" t="str">
        <f t="shared" ref="P35:Y35" si="7">IFERROR(IF(P197="","",P197),"")</f>
        <v>Urea</v>
      </c>
      <c r="Q35" s="689" t="str">
        <f t="shared" si="7"/>
        <v>DAP</v>
      </c>
      <c r="R35" s="689" t="str">
        <f t="shared" si="7"/>
        <v>MOP</v>
      </c>
      <c r="S35" s="689" t="str">
        <f t="shared" si="7"/>
        <v>POLY4</v>
      </c>
      <c r="T35" s="689" t="str">
        <f t="shared" si="7"/>
        <v/>
      </c>
      <c r="U35" s="689" t="str">
        <f t="shared" si="7"/>
        <v/>
      </c>
      <c r="V35" s="689" t="str">
        <f t="shared" si="7"/>
        <v/>
      </c>
      <c r="W35" s="689" t="str">
        <f t="shared" si="7"/>
        <v/>
      </c>
      <c r="X35" s="689" t="str">
        <f t="shared" si="7"/>
        <v/>
      </c>
      <c r="Y35" s="689" t="str">
        <f t="shared" si="7"/>
        <v/>
      </c>
      <c r="Z35" s="690"/>
      <c r="AA35" s="675"/>
      <c r="AB35" s="644"/>
      <c r="AC35" s="645"/>
      <c r="AD35" s="645"/>
      <c r="AE35" s="645"/>
      <c r="AF35" s="645"/>
      <c r="AG35" s="645"/>
      <c r="AH35" s="645"/>
      <c r="AI35" s="645"/>
      <c r="AJ35" s="645"/>
      <c r="AK35" s="645"/>
      <c r="AL35" s="645"/>
      <c r="AM35" s="645"/>
      <c r="AN35" s="646"/>
    </row>
    <row r="36" spans="1:40" ht="15.6" customHeight="1">
      <c r="A36" s="625"/>
      <c r="B36" s="1196" t="s">
        <v>191</v>
      </c>
      <c r="C36" s="898">
        <f>IFERROR(IF(C198="","",C198),"")</f>
        <v>473.14578299232733</v>
      </c>
      <c r="D36" s="898">
        <f t="shared" ref="D36:L36" si="8">IFERROR(IF(D198="","",D198),"")</f>
        <v>0</v>
      </c>
      <c r="E36" s="898">
        <f t="shared" si="8"/>
        <v>217.39130434782609</v>
      </c>
      <c r="F36" s="898">
        <f t="shared" si="8"/>
        <v>166.66666666666671</v>
      </c>
      <c r="G36" s="898">
        <f t="shared" si="8"/>
        <v>120</v>
      </c>
      <c r="H36" s="898" t="str">
        <f t="shared" si="8"/>
        <v/>
      </c>
      <c r="I36" s="898" t="str">
        <f t="shared" si="8"/>
        <v/>
      </c>
      <c r="J36" s="898" t="str">
        <f t="shared" si="8"/>
        <v/>
      </c>
      <c r="K36" s="898" t="str">
        <f t="shared" si="8"/>
        <v/>
      </c>
      <c r="L36" s="898" t="str">
        <f t="shared" si="8"/>
        <v/>
      </c>
      <c r="M36" s="899">
        <f>IF(SUM(C36:L36)=0,"",SUM(C36:L36))</f>
        <v>977.20375400682019</v>
      </c>
      <c r="N36" s="679"/>
      <c r="O36" s="1198" t="s">
        <v>193</v>
      </c>
      <c r="P36" s="900">
        <f>IFERROR(IF(P198="","",P198),"")</f>
        <v>349.71644829867671</v>
      </c>
      <c r="Q36" s="900">
        <f t="shared" ref="Q36:Y36" si="9">IFERROR(IF(Q198="","",Q198),"")</f>
        <v>217.39130434782606</v>
      </c>
      <c r="R36" s="900">
        <f t="shared" si="9"/>
        <v>166.66666666666671</v>
      </c>
      <c r="S36" s="900">
        <f t="shared" si="9"/>
        <v>0</v>
      </c>
      <c r="T36" s="900" t="str">
        <f t="shared" si="9"/>
        <v/>
      </c>
      <c r="U36" s="900" t="str">
        <f t="shared" si="9"/>
        <v/>
      </c>
      <c r="V36" s="900" t="str">
        <f t="shared" si="9"/>
        <v/>
      </c>
      <c r="W36" s="900" t="str">
        <f t="shared" si="9"/>
        <v/>
      </c>
      <c r="X36" s="900" t="str">
        <f t="shared" si="9"/>
        <v/>
      </c>
      <c r="Y36" s="900" t="str">
        <f t="shared" si="9"/>
        <v/>
      </c>
      <c r="Z36" s="899">
        <f>IF(SUM(P36:Y36)=0,"",SUM(P36:Y36))</f>
        <v>733.77441931316957</v>
      </c>
      <c r="AA36" s="890"/>
      <c r="AB36" s="644"/>
      <c r="AC36" s="645"/>
      <c r="AD36" s="645"/>
      <c r="AE36" s="645"/>
      <c r="AF36" s="645"/>
      <c r="AG36" s="645"/>
      <c r="AH36" s="645"/>
      <c r="AI36" s="645"/>
      <c r="AJ36" s="645"/>
      <c r="AK36" s="645"/>
      <c r="AL36" s="645"/>
      <c r="AM36" s="645"/>
      <c r="AN36" s="646"/>
    </row>
    <row r="37" spans="1:40" ht="15.6" customHeight="1">
      <c r="A37" s="625"/>
      <c r="B37" s="1197"/>
      <c r="C37" s="692"/>
      <c r="D37" s="693"/>
      <c r="E37" s="693"/>
      <c r="F37" s="693"/>
      <c r="G37" s="693"/>
      <c r="H37" s="693"/>
      <c r="I37" s="693"/>
      <c r="J37" s="693"/>
      <c r="K37" s="693"/>
      <c r="L37" s="694"/>
      <c r="M37" s="682" t="s">
        <v>187</v>
      </c>
      <c r="N37" s="679"/>
      <c r="O37" s="1197"/>
      <c r="P37" s="692"/>
      <c r="Q37" s="693"/>
      <c r="R37" s="693"/>
      <c r="S37" s="693"/>
      <c r="T37" s="693"/>
      <c r="U37" s="693"/>
      <c r="V37" s="693"/>
      <c r="W37" s="693"/>
      <c r="X37" s="693"/>
      <c r="Y37" s="694"/>
      <c r="Z37" s="684" t="s">
        <v>187</v>
      </c>
      <c r="AA37" s="891"/>
      <c r="AB37" s="644"/>
      <c r="AC37" s="645"/>
      <c r="AD37" s="645"/>
      <c r="AE37" s="645"/>
      <c r="AF37" s="645"/>
      <c r="AG37" s="645"/>
      <c r="AH37" s="645"/>
      <c r="AI37" s="645"/>
      <c r="AJ37" s="645"/>
      <c r="AK37" s="645"/>
      <c r="AL37" s="645"/>
      <c r="AM37" s="645"/>
      <c r="AN37" s="646"/>
    </row>
    <row r="38" spans="1:40" ht="15.6" customHeight="1">
      <c r="A38" s="625"/>
      <c r="B38" s="686"/>
      <c r="C38" s="695" t="s">
        <v>154</v>
      </c>
      <c r="D38" s="695" t="s">
        <v>155</v>
      </c>
      <c r="E38" s="695" t="s">
        <v>156</v>
      </c>
      <c r="F38" s="695" t="s">
        <v>83</v>
      </c>
      <c r="G38" s="695" t="s">
        <v>11</v>
      </c>
      <c r="H38" s="695" t="s">
        <v>12</v>
      </c>
      <c r="I38" s="695" t="s">
        <v>14</v>
      </c>
      <c r="J38" s="695" t="s">
        <v>38</v>
      </c>
      <c r="K38" s="695" t="s">
        <v>145</v>
      </c>
      <c r="L38" s="695" t="s">
        <v>13</v>
      </c>
      <c r="M38" s="1190">
        <f>IF(M200="","",M200)</f>
        <v>276.78637064794543</v>
      </c>
      <c r="N38" s="679"/>
      <c r="O38" s="686"/>
      <c r="P38" s="696" t="s">
        <v>154</v>
      </c>
      <c r="Q38" s="696" t="s">
        <v>155</v>
      </c>
      <c r="R38" s="696" t="s">
        <v>156</v>
      </c>
      <c r="S38" s="696" t="s">
        <v>83</v>
      </c>
      <c r="T38" s="696" t="s">
        <v>11</v>
      </c>
      <c r="U38" s="696" t="s">
        <v>12</v>
      </c>
      <c r="V38" s="696" t="s">
        <v>14</v>
      </c>
      <c r="W38" s="696" t="s">
        <v>38</v>
      </c>
      <c r="X38" s="696" t="s">
        <v>145</v>
      </c>
      <c r="Y38" s="696" t="s">
        <v>13</v>
      </c>
      <c r="Z38" s="1192">
        <f>SUMPRODUCT(P36:Y36,P199:Y199)*0.001</f>
        <v>133.01449275362319</v>
      </c>
      <c r="AA38" s="1181" t="str">
        <f>IFERROR($B$18-((Z38-M38)/S36)*1000,"")</f>
        <v/>
      </c>
      <c r="AB38" s="644"/>
      <c r="AC38" s="645"/>
      <c r="AD38" s="645"/>
      <c r="AE38" s="645"/>
      <c r="AF38" s="645"/>
      <c r="AG38" s="645"/>
      <c r="AH38" s="645"/>
      <c r="AI38" s="645"/>
      <c r="AJ38" s="645"/>
      <c r="AK38" s="645"/>
      <c r="AL38" s="645"/>
      <c r="AM38" s="645"/>
      <c r="AN38" s="646"/>
    </row>
    <row r="39" spans="1:40" ht="15.6" customHeight="1">
      <c r="A39" s="625"/>
      <c r="B39" s="697"/>
      <c r="C39" s="698">
        <f t="shared" ref="C39:L39" si="10">IFERROR(IF(C201="","",C201),"")</f>
        <v>200.000001</v>
      </c>
      <c r="D39" s="698">
        <f t="shared" si="10"/>
        <v>100.00000000000001</v>
      </c>
      <c r="E39" s="698">
        <f t="shared" si="10"/>
        <v>100.00000000000003</v>
      </c>
      <c r="F39" s="699">
        <f t="shared" si="10"/>
        <v>24</v>
      </c>
      <c r="G39" s="699">
        <f t="shared" si="10"/>
        <v>30</v>
      </c>
      <c r="H39" s="699">
        <f t="shared" si="10"/>
        <v>0</v>
      </c>
      <c r="I39" s="698">
        <f t="shared" si="10"/>
        <v>0</v>
      </c>
      <c r="J39" s="698">
        <f t="shared" si="10"/>
        <v>0</v>
      </c>
      <c r="K39" s="698">
        <f t="shared" si="10"/>
        <v>0</v>
      </c>
      <c r="L39" s="699">
        <f t="shared" si="10"/>
        <v>80.000000000000014</v>
      </c>
      <c r="M39" s="1191"/>
      <c r="N39" s="679"/>
      <c r="O39" s="697"/>
      <c r="P39" s="701">
        <f t="shared" ref="P39:Y39" si="11">IFERROR(IF(P201="","",P201),"")</f>
        <v>200.00000099999997</v>
      </c>
      <c r="Q39" s="701">
        <f t="shared" si="11"/>
        <v>100</v>
      </c>
      <c r="R39" s="701">
        <f t="shared" si="11"/>
        <v>100.00000000000003</v>
      </c>
      <c r="S39" s="700">
        <f t="shared" si="11"/>
        <v>0</v>
      </c>
      <c r="T39" s="700">
        <f t="shared" si="11"/>
        <v>0</v>
      </c>
      <c r="U39" s="700">
        <f t="shared" si="11"/>
        <v>0</v>
      </c>
      <c r="V39" s="701">
        <f t="shared" si="11"/>
        <v>0</v>
      </c>
      <c r="W39" s="701">
        <f t="shared" si="11"/>
        <v>0</v>
      </c>
      <c r="X39" s="701">
        <f t="shared" si="11"/>
        <v>0</v>
      </c>
      <c r="Y39" s="700">
        <f t="shared" si="11"/>
        <v>80.000000000000014</v>
      </c>
      <c r="Z39" s="1191"/>
      <c r="AA39" s="1193"/>
      <c r="AB39" s="644"/>
      <c r="AC39" s="645"/>
      <c r="AD39" s="645"/>
      <c r="AE39" s="645"/>
      <c r="AF39" s="645"/>
      <c r="AG39" s="645"/>
      <c r="AH39" s="645"/>
      <c r="AI39" s="645"/>
      <c r="AJ39" s="645"/>
      <c r="AK39" s="645"/>
      <c r="AL39" s="645"/>
      <c r="AM39" s="645"/>
      <c r="AN39" s="646"/>
    </row>
    <row r="40" spans="1:40" ht="15.6" customHeight="1">
      <c r="A40" s="625"/>
      <c r="B40" s="702"/>
      <c r="C40" s="644"/>
      <c r="D40" s="644"/>
      <c r="E40" s="644"/>
      <c r="F40" s="644"/>
      <c r="G40" s="644"/>
      <c r="H40" s="644"/>
      <c r="I40" s="644"/>
      <c r="J40" s="644"/>
      <c r="K40" s="644"/>
      <c r="L40" s="644"/>
      <c r="M40" s="644"/>
      <c r="N40" s="679"/>
      <c r="O40" s="703"/>
      <c r="P40" s="644"/>
      <c r="Q40" s="644"/>
      <c r="R40" s="644"/>
      <c r="S40" s="644"/>
      <c r="T40" s="644"/>
      <c r="U40" s="644"/>
      <c r="V40" s="644"/>
      <c r="W40" s="644"/>
      <c r="X40" s="644"/>
      <c r="Y40" s="644"/>
      <c r="Z40" s="644"/>
      <c r="AA40" s="648"/>
      <c r="AB40" s="644"/>
      <c r="AC40" s="645"/>
      <c r="AD40" s="645"/>
      <c r="AE40" s="645"/>
      <c r="AF40" s="645"/>
      <c r="AG40" s="645"/>
      <c r="AH40" s="645"/>
      <c r="AI40" s="645"/>
      <c r="AJ40" s="645"/>
      <c r="AK40" s="645"/>
      <c r="AL40" s="645"/>
      <c r="AM40" s="645"/>
      <c r="AN40" s="646"/>
    </row>
    <row r="41" spans="1:40" ht="15.6" customHeight="1">
      <c r="A41" s="625"/>
      <c r="B41" s="702"/>
      <c r="C41" s="644"/>
      <c r="D41" s="644"/>
      <c r="E41" s="644"/>
      <c r="F41" s="644"/>
      <c r="G41" s="644"/>
      <c r="H41" s="644"/>
      <c r="I41" s="644"/>
      <c r="J41" s="644"/>
      <c r="K41" s="644"/>
      <c r="L41" s="644"/>
      <c r="M41" s="644"/>
      <c r="N41" s="679"/>
      <c r="O41" s="703"/>
      <c r="P41" s="644"/>
      <c r="Q41" s="644"/>
      <c r="R41" s="644"/>
      <c r="S41" s="644"/>
      <c r="T41" s="644"/>
      <c r="U41" s="644"/>
      <c r="V41" s="644"/>
      <c r="W41" s="644"/>
      <c r="X41" s="644"/>
      <c r="Y41" s="644"/>
      <c r="Z41" s="644"/>
      <c r="AA41" s="648"/>
      <c r="AB41" s="644"/>
      <c r="AC41" s="645"/>
      <c r="AD41" s="645"/>
      <c r="AE41" s="645"/>
      <c r="AF41" s="645"/>
      <c r="AG41" s="645"/>
      <c r="AH41" s="645"/>
      <c r="AI41" s="645"/>
      <c r="AJ41" s="645"/>
      <c r="AK41" s="645"/>
      <c r="AL41" s="645"/>
      <c r="AM41" s="645"/>
      <c r="AN41" s="646"/>
    </row>
    <row r="42" spans="1:40" ht="15.6" customHeight="1">
      <c r="A42" s="625"/>
      <c r="B42" s="681"/>
      <c r="C42" s="682" t="s">
        <v>0</v>
      </c>
      <c r="D42" s="682" t="s">
        <v>1</v>
      </c>
      <c r="E42" s="682" t="s">
        <v>2</v>
      </c>
      <c r="F42" s="682" t="s">
        <v>3</v>
      </c>
      <c r="G42" s="682" t="s">
        <v>4</v>
      </c>
      <c r="H42" s="682" t="s">
        <v>5</v>
      </c>
      <c r="I42" s="682" t="s">
        <v>6</v>
      </c>
      <c r="J42" s="682" t="s">
        <v>7</v>
      </c>
      <c r="K42" s="682" t="s">
        <v>8</v>
      </c>
      <c r="L42" s="682" t="s">
        <v>149</v>
      </c>
      <c r="M42" s="682" t="s">
        <v>185</v>
      </c>
      <c r="N42" s="679"/>
      <c r="O42" s="681"/>
      <c r="P42" s="683" t="s">
        <v>0</v>
      </c>
      <c r="Q42" s="683" t="s">
        <v>1</v>
      </c>
      <c r="R42" s="683" t="s">
        <v>2</v>
      </c>
      <c r="S42" s="683" t="s">
        <v>3</v>
      </c>
      <c r="T42" s="683" t="s">
        <v>4</v>
      </c>
      <c r="U42" s="683" t="s">
        <v>5</v>
      </c>
      <c r="V42" s="683" t="s">
        <v>6</v>
      </c>
      <c r="W42" s="683" t="s">
        <v>7</v>
      </c>
      <c r="X42" s="683" t="s">
        <v>8</v>
      </c>
      <c r="Y42" s="683" t="s">
        <v>149</v>
      </c>
      <c r="Z42" s="684" t="s">
        <v>150</v>
      </c>
      <c r="AA42" s="685" t="s">
        <v>151</v>
      </c>
      <c r="AB42" s="644"/>
      <c r="AC42" s="645"/>
      <c r="AD42" s="645"/>
      <c r="AE42" s="645"/>
      <c r="AF42" s="645"/>
      <c r="AG42" s="645"/>
      <c r="AH42" s="645"/>
      <c r="AI42" s="645"/>
      <c r="AJ42" s="645"/>
      <c r="AK42" s="645"/>
      <c r="AL42" s="645"/>
      <c r="AM42" s="645"/>
      <c r="AN42" s="646"/>
    </row>
    <row r="43" spans="1:40" ht="15.6" customHeight="1">
      <c r="A43" s="625"/>
      <c r="B43" s="686"/>
      <c r="C43" s="687" t="str">
        <f t="shared" ref="C43:L43" si="12">IFERROR(IF(C205="","",C205),"")</f>
        <v>AN</v>
      </c>
      <c r="D43" s="687" t="str">
        <f t="shared" si="12"/>
        <v>AS</v>
      </c>
      <c r="E43" s="687" t="str">
        <f t="shared" si="12"/>
        <v>MAP</v>
      </c>
      <c r="F43" s="687" t="str">
        <f t="shared" si="12"/>
        <v>MOP</v>
      </c>
      <c r="G43" s="687" t="str">
        <f t="shared" si="12"/>
        <v>Kieserite</v>
      </c>
      <c r="H43" s="687" t="str">
        <f t="shared" si="12"/>
        <v/>
      </c>
      <c r="I43" s="687" t="str">
        <f t="shared" si="12"/>
        <v/>
      </c>
      <c r="J43" s="687" t="str">
        <f t="shared" si="12"/>
        <v/>
      </c>
      <c r="K43" s="687" t="str">
        <f t="shared" si="12"/>
        <v/>
      </c>
      <c r="L43" s="687" t="str">
        <f t="shared" si="12"/>
        <v/>
      </c>
      <c r="M43" s="690"/>
      <c r="N43" s="679"/>
      <c r="O43" s="686"/>
      <c r="P43" s="689" t="str">
        <f t="shared" ref="P43:Y43" si="13">IFERROR(IF(P205="","",P205),"")</f>
        <v>Urea</v>
      </c>
      <c r="Q43" s="689" t="str">
        <f t="shared" si="13"/>
        <v>MAP</v>
      </c>
      <c r="R43" s="689" t="str">
        <f t="shared" si="13"/>
        <v>MOP</v>
      </c>
      <c r="S43" s="689" t="str">
        <f t="shared" si="13"/>
        <v>POLY4</v>
      </c>
      <c r="T43" s="689" t="str">
        <f t="shared" si="13"/>
        <v/>
      </c>
      <c r="U43" s="689" t="str">
        <f t="shared" si="13"/>
        <v/>
      </c>
      <c r="V43" s="689" t="str">
        <f t="shared" si="13"/>
        <v/>
      </c>
      <c r="W43" s="689" t="str">
        <f t="shared" si="13"/>
        <v/>
      </c>
      <c r="X43" s="689" t="str">
        <f t="shared" si="13"/>
        <v/>
      </c>
      <c r="Y43" s="689" t="str">
        <f t="shared" si="13"/>
        <v/>
      </c>
      <c r="Z43" s="690"/>
      <c r="AA43" s="675"/>
      <c r="AB43" s="644"/>
      <c r="AC43" s="645"/>
      <c r="AD43" s="645"/>
      <c r="AE43" s="645"/>
      <c r="AF43" s="645"/>
      <c r="AG43" s="645"/>
      <c r="AH43" s="645"/>
      <c r="AI43" s="645"/>
      <c r="AJ43" s="645"/>
      <c r="AK43" s="645"/>
      <c r="AL43" s="645"/>
      <c r="AM43" s="645"/>
      <c r="AN43" s="646"/>
    </row>
    <row r="44" spans="1:40" ht="15.6" customHeight="1">
      <c r="A44" s="625"/>
      <c r="B44" s="1196" t="s">
        <v>191</v>
      </c>
      <c r="C44" s="898">
        <f>IFERROR(IF(C206="","",C206),"")</f>
        <v>526.01810248868776</v>
      </c>
      <c r="D44" s="898">
        <f t="shared" ref="D44:L44" si="14">IFERROR(IF(D206="","",D206),"")</f>
        <v>0</v>
      </c>
      <c r="E44" s="898">
        <f t="shared" si="14"/>
        <v>192.30769230769229</v>
      </c>
      <c r="F44" s="898">
        <f t="shared" si="14"/>
        <v>166.66666666666671</v>
      </c>
      <c r="G44" s="898">
        <f t="shared" si="14"/>
        <v>120</v>
      </c>
      <c r="H44" s="898" t="str">
        <f t="shared" si="14"/>
        <v/>
      </c>
      <c r="I44" s="898" t="str">
        <f t="shared" si="14"/>
        <v/>
      </c>
      <c r="J44" s="898" t="str">
        <f t="shared" si="14"/>
        <v/>
      </c>
      <c r="K44" s="898" t="str">
        <f t="shared" si="14"/>
        <v/>
      </c>
      <c r="L44" s="898" t="str">
        <f t="shared" si="14"/>
        <v/>
      </c>
      <c r="M44" s="899">
        <f>IF(SUM(C44:L44)=0,"",SUM(C44:L44))</f>
        <v>1004.9924614630468</v>
      </c>
      <c r="N44" s="679"/>
      <c r="O44" s="1198" t="s">
        <v>194</v>
      </c>
      <c r="P44" s="900">
        <f>IFERROR(IF(P206="","",P206),"")</f>
        <v>388.7959887959866</v>
      </c>
      <c r="Q44" s="900">
        <f t="shared" ref="Q44:Y44" si="15">IFERROR(IF(Q206="","",Q206),"")</f>
        <v>192.30769230769229</v>
      </c>
      <c r="R44" s="900">
        <f t="shared" si="15"/>
        <v>166.66666666666671</v>
      </c>
      <c r="S44" s="900">
        <f t="shared" si="15"/>
        <v>0</v>
      </c>
      <c r="T44" s="900" t="str">
        <f t="shared" si="15"/>
        <v/>
      </c>
      <c r="U44" s="900" t="str">
        <f t="shared" si="15"/>
        <v/>
      </c>
      <c r="V44" s="900" t="str">
        <f t="shared" si="15"/>
        <v/>
      </c>
      <c r="W44" s="900" t="str">
        <f t="shared" si="15"/>
        <v/>
      </c>
      <c r="X44" s="900" t="str">
        <f t="shared" si="15"/>
        <v/>
      </c>
      <c r="Y44" s="900" t="str">
        <f t="shared" si="15"/>
        <v/>
      </c>
      <c r="Z44" s="899">
        <f>IF(SUM(P44:Y44)=0,"",SUM(P44:Y44))</f>
        <v>747.77034777034567</v>
      </c>
      <c r="AA44" s="890"/>
      <c r="AB44" s="644"/>
      <c r="AC44" s="645"/>
      <c r="AD44" s="645"/>
      <c r="AE44" s="645"/>
      <c r="AF44" s="645"/>
      <c r="AG44" s="645"/>
      <c r="AH44" s="645"/>
      <c r="AI44" s="645"/>
      <c r="AJ44" s="645"/>
      <c r="AK44" s="645"/>
      <c r="AL44" s="645"/>
      <c r="AM44" s="645"/>
      <c r="AN44" s="646"/>
    </row>
    <row r="45" spans="1:40" ht="15.6" customHeight="1">
      <c r="A45" s="625"/>
      <c r="B45" s="1197"/>
      <c r="C45" s="692"/>
      <c r="D45" s="693"/>
      <c r="E45" s="693"/>
      <c r="F45" s="693"/>
      <c r="G45" s="693"/>
      <c r="H45" s="693"/>
      <c r="I45" s="693"/>
      <c r="J45" s="693"/>
      <c r="K45" s="693"/>
      <c r="L45" s="694"/>
      <c r="M45" s="682" t="s">
        <v>187</v>
      </c>
      <c r="N45" s="679"/>
      <c r="O45" s="1197"/>
      <c r="P45" s="692"/>
      <c r="Q45" s="693"/>
      <c r="R45" s="693"/>
      <c r="S45" s="693"/>
      <c r="T45" s="693"/>
      <c r="U45" s="693"/>
      <c r="V45" s="693"/>
      <c r="W45" s="693"/>
      <c r="X45" s="693"/>
      <c r="Y45" s="694"/>
      <c r="Z45" s="684" t="s">
        <v>185</v>
      </c>
      <c r="AA45" s="891"/>
      <c r="AB45" s="644"/>
      <c r="AC45" s="645"/>
      <c r="AD45" s="645"/>
      <c r="AE45" s="645"/>
      <c r="AF45" s="645"/>
      <c r="AG45" s="645"/>
      <c r="AH45" s="645"/>
      <c r="AI45" s="645"/>
      <c r="AJ45" s="645"/>
      <c r="AK45" s="645"/>
      <c r="AL45" s="645"/>
      <c r="AM45" s="645"/>
      <c r="AN45" s="646"/>
    </row>
    <row r="46" spans="1:40" ht="16.2" customHeight="1">
      <c r="A46" s="625"/>
      <c r="B46" s="686"/>
      <c r="C46" s="695" t="s">
        <v>154</v>
      </c>
      <c r="D46" s="695" t="s">
        <v>155</v>
      </c>
      <c r="E46" s="695" t="s">
        <v>156</v>
      </c>
      <c r="F46" s="695" t="s">
        <v>83</v>
      </c>
      <c r="G46" s="695" t="s">
        <v>11</v>
      </c>
      <c r="H46" s="695" t="s">
        <v>12</v>
      </c>
      <c r="I46" s="695" t="s">
        <v>14</v>
      </c>
      <c r="J46" s="695" t="s">
        <v>38</v>
      </c>
      <c r="K46" s="695" t="s">
        <v>145</v>
      </c>
      <c r="L46" s="695" t="s">
        <v>13</v>
      </c>
      <c r="M46" s="1190">
        <f>IF(M208="","",M208)</f>
        <v>274.21790714214183</v>
      </c>
      <c r="N46" s="679"/>
      <c r="O46" s="686"/>
      <c r="P46" s="696" t="s">
        <v>154</v>
      </c>
      <c r="Q46" s="696" t="s">
        <v>155</v>
      </c>
      <c r="R46" s="696" t="s">
        <v>156</v>
      </c>
      <c r="S46" s="696" t="s">
        <v>83</v>
      </c>
      <c r="T46" s="696" t="s">
        <v>11</v>
      </c>
      <c r="U46" s="696" t="s">
        <v>12</v>
      </c>
      <c r="V46" s="696" t="s">
        <v>14</v>
      </c>
      <c r="W46" s="696" t="s">
        <v>38</v>
      </c>
      <c r="X46" s="696" t="s">
        <v>145</v>
      </c>
      <c r="Y46" s="696" t="s">
        <v>13</v>
      </c>
      <c r="Z46" s="1192">
        <f>SUMPRODUCT(P44:Y44,P207:Y207)*0.001</f>
        <v>119.05128205128206</v>
      </c>
      <c r="AA46" s="1181" t="str">
        <f>IFERROR($B$18-((Z46-M46)/S44)*1000,"")</f>
        <v/>
      </c>
      <c r="AB46" s="644"/>
      <c r="AC46" s="645"/>
      <c r="AD46" s="645"/>
      <c r="AE46" s="645"/>
      <c r="AF46" s="645"/>
      <c r="AG46" s="645"/>
      <c r="AH46" s="645"/>
      <c r="AI46" s="645"/>
      <c r="AJ46" s="645"/>
      <c r="AK46" s="645"/>
      <c r="AL46" s="645"/>
      <c r="AM46" s="645"/>
      <c r="AN46" s="646"/>
    </row>
    <row r="47" spans="1:40" ht="16.2" customHeight="1">
      <c r="A47" s="625"/>
      <c r="B47" s="697"/>
      <c r="C47" s="698">
        <f t="shared" ref="C47:L47" si="16">IFERROR(IF(C209="","",C209),"")</f>
        <v>200.000001</v>
      </c>
      <c r="D47" s="698">
        <f t="shared" si="16"/>
        <v>100</v>
      </c>
      <c r="E47" s="698">
        <f t="shared" si="16"/>
        <v>100.00000000000003</v>
      </c>
      <c r="F47" s="699">
        <f t="shared" si="16"/>
        <v>24</v>
      </c>
      <c r="G47" s="699">
        <f t="shared" si="16"/>
        <v>30</v>
      </c>
      <c r="H47" s="699">
        <f t="shared" si="16"/>
        <v>0</v>
      </c>
      <c r="I47" s="698">
        <f t="shared" si="16"/>
        <v>0</v>
      </c>
      <c r="J47" s="698">
        <f t="shared" si="16"/>
        <v>0</v>
      </c>
      <c r="K47" s="698">
        <f t="shared" si="16"/>
        <v>0</v>
      </c>
      <c r="L47" s="699">
        <f t="shared" si="16"/>
        <v>80.000000000000014</v>
      </c>
      <c r="M47" s="1191"/>
      <c r="N47" s="704"/>
      <c r="O47" s="697"/>
      <c r="P47" s="701">
        <f t="shared" ref="P47:Y47" si="17">IFERROR(IF(P209="","",P209),"")</f>
        <v>200.000001</v>
      </c>
      <c r="Q47" s="701">
        <f t="shared" si="17"/>
        <v>100</v>
      </c>
      <c r="R47" s="701">
        <f t="shared" si="17"/>
        <v>100.00000000000003</v>
      </c>
      <c r="S47" s="700">
        <f t="shared" si="17"/>
        <v>0</v>
      </c>
      <c r="T47" s="700">
        <f t="shared" si="17"/>
        <v>0</v>
      </c>
      <c r="U47" s="700">
        <f t="shared" si="17"/>
        <v>0</v>
      </c>
      <c r="V47" s="701">
        <f t="shared" si="17"/>
        <v>0</v>
      </c>
      <c r="W47" s="701">
        <f t="shared" si="17"/>
        <v>0</v>
      </c>
      <c r="X47" s="701">
        <f t="shared" si="17"/>
        <v>0</v>
      </c>
      <c r="Y47" s="700">
        <f t="shared" si="17"/>
        <v>80.000000000000014</v>
      </c>
      <c r="Z47" s="1191"/>
      <c r="AA47" s="1193"/>
      <c r="AB47" s="644"/>
      <c r="AC47" s="645"/>
      <c r="AD47" s="645"/>
      <c r="AE47" s="645"/>
      <c r="AF47" s="645"/>
      <c r="AG47" s="645"/>
      <c r="AH47" s="645"/>
      <c r="AI47" s="645"/>
      <c r="AJ47" s="645"/>
      <c r="AK47" s="645"/>
      <c r="AL47" s="645"/>
      <c r="AM47" s="645"/>
      <c r="AN47" s="646"/>
    </row>
    <row r="48" spans="1:40" ht="12" customHeight="1">
      <c r="A48" s="625"/>
      <c r="B48" s="655"/>
      <c r="C48" s="656"/>
      <c r="D48" s="656"/>
      <c r="E48" s="656"/>
      <c r="F48" s="656"/>
      <c r="G48" s="656"/>
      <c r="H48" s="656"/>
      <c r="I48" s="656"/>
      <c r="J48" s="656"/>
      <c r="K48" s="656"/>
      <c r="L48" s="656"/>
      <c r="M48" s="656"/>
      <c r="N48" s="656"/>
      <c r="O48" s="656"/>
      <c r="P48" s="656"/>
      <c r="Q48" s="656"/>
      <c r="R48" s="656"/>
      <c r="S48" s="656"/>
      <c r="T48" s="656"/>
      <c r="U48" s="656"/>
      <c r="V48" s="656"/>
      <c r="W48" s="656"/>
      <c r="X48" s="656"/>
      <c r="Y48" s="656"/>
      <c r="Z48" s="656"/>
      <c r="AA48" s="657"/>
      <c r="AB48" s="644"/>
      <c r="AC48" s="645"/>
      <c r="AD48" s="645"/>
      <c r="AE48" s="645"/>
      <c r="AF48" s="645"/>
      <c r="AG48" s="645"/>
      <c r="AH48" s="645"/>
      <c r="AI48" s="645"/>
      <c r="AJ48" s="645"/>
      <c r="AK48" s="645"/>
      <c r="AL48" s="645"/>
      <c r="AM48" s="645"/>
      <c r="AN48" s="646"/>
    </row>
    <row r="49" spans="1:40" ht="11.4" customHeight="1">
      <c r="A49" s="625"/>
      <c r="B49" s="655"/>
      <c r="C49" s="656"/>
      <c r="D49" s="656"/>
      <c r="E49" s="656"/>
      <c r="F49" s="656"/>
      <c r="G49" s="656"/>
      <c r="H49" s="656"/>
      <c r="I49" s="656"/>
      <c r="J49" s="656"/>
      <c r="K49" s="656"/>
      <c r="L49" s="656"/>
      <c r="M49" s="656"/>
      <c r="N49" s="656"/>
      <c r="O49" s="656"/>
      <c r="P49" s="656"/>
      <c r="Q49" s="656"/>
      <c r="R49" s="656"/>
      <c r="S49" s="656"/>
      <c r="T49" s="656"/>
      <c r="U49" s="656"/>
      <c r="V49" s="656"/>
      <c r="W49" s="656"/>
      <c r="X49" s="656"/>
      <c r="Y49" s="656"/>
      <c r="Z49" s="656"/>
      <c r="AA49" s="657"/>
      <c r="AB49" s="644"/>
      <c r="AC49" s="645"/>
      <c r="AD49" s="645"/>
      <c r="AE49" s="645"/>
      <c r="AF49" s="645"/>
      <c r="AG49" s="645"/>
      <c r="AH49" s="645"/>
      <c r="AI49" s="645"/>
      <c r="AJ49" s="645"/>
      <c r="AK49" s="645"/>
      <c r="AL49" s="645"/>
      <c r="AM49" s="645"/>
      <c r="AN49" s="646"/>
    </row>
    <row r="50" spans="1:40" ht="13.8" customHeight="1">
      <c r="A50" s="625"/>
      <c r="B50" s="655"/>
      <c r="C50" s="656"/>
      <c r="D50" s="656"/>
      <c r="E50" s="656"/>
      <c r="F50" s="656"/>
      <c r="G50" s="656"/>
      <c r="H50" s="656"/>
      <c r="I50" s="656"/>
      <c r="J50" s="656"/>
      <c r="K50" s="656"/>
      <c r="L50" s="656"/>
      <c r="M50" s="656"/>
      <c r="N50" s="656"/>
      <c r="O50" s="656"/>
      <c r="P50" s="656"/>
      <c r="Q50" s="656"/>
      <c r="R50" s="656"/>
      <c r="S50" s="656"/>
      <c r="T50" s="656"/>
      <c r="U50" s="656"/>
      <c r="V50" s="656"/>
      <c r="W50" s="656"/>
      <c r="X50" s="656"/>
      <c r="Y50" s="656"/>
      <c r="Z50" s="656"/>
      <c r="AA50" s="657"/>
      <c r="AB50" s="644"/>
      <c r="AC50" s="645"/>
      <c r="AD50" s="645"/>
      <c r="AE50" s="645"/>
      <c r="AF50" s="645"/>
      <c r="AG50" s="645"/>
      <c r="AH50" s="645"/>
      <c r="AI50" s="645"/>
      <c r="AJ50" s="645"/>
      <c r="AK50" s="645"/>
      <c r="AL50" s="645"/>
      <c r="AM50" s="645"/>
      <c r="AN50" s="646"/>
    </row>
    <row r="51" spans="1:40" ht="13.8" customHeight="1">
      <c r="A51" s="625"/>
      <c r="B51" s="655"/>
      <c r="C51" s="656"/>
      <c r="D51" s="656"/>
      <c r="E51" s="656"/>
      <c r="F51" s="656"/>
      <c r="G51" s="656"/>
      <c r="H51" s="656"/>
      <c r="I51" s="656"/>
      <c r="J51" s="656"/>
      <c r="K51" s="656"/>
      <c r="L51" s="656"/>
      <c r="M51" s="656"/>
      <c r="N51" s="656"/>
      <c r="O51" s="656"/>
      <c r="P51" s="656"/>
      <c r="Q51" s="656"/>
      <c r="R51" s="656"/>
      <c r="S51" s="656"/>
      <c r="T51" s="656"/>
      <c r="U51" s="656"/>
      <c r="V51" s="656"/>
      <c r="W51" s="656"/>
      <c r="X51" s="656"/>
      <c r="Y51" s="656"/>
      <c r="Z51" s="656"/>
      <c r="AA51" s="657"/>
      <c r="AB51" s="644"/>
      <c r="AC51" s="645"/>
      <c r="AD51" s="645"/>
      <c r="AE51" s="645"/>
      <c r="AF51" s="645"/>
      <c r="AG51" s="645"/>
      <c r="AH51" s="645"/>
      <c r="AI51" s="645"/>
      <c r="AJ51" s="645"/>
      <c r="AK51" s="645"/>
      <c r="AL51" s="645"/>
      <c r="AM51" s="645"/>
      <c r="AN51" s="646"/>
    </row>
    <row r="52" spans="1:40" ht="13.8" customHeight="1">
      <c r="A52" s="625"/>
      <c r="B52" s="655"/>
      <c r="C52" s="656"/>
      <c r="D52" s="656"/>
      <c r="E52" s="656"/>
      <c r="F52" s="656"/>
      <c r="G52" s="656"/>
      <c r="H52" s="656"/>
      <c r="I52" s="656"/>
      <c r="J52" s="656"/>
      <c r="K52" s="656"/>
      <c r="L52" s="656"/>
      <c r="M52" s="656"/>
      <c r="N52" s="656"/>
      <c r="O52" s="656"/>
      <c r="P52" s="656"/>
      <c r="Q52" s="656"/>
      <c r="R52" s="656"/>
      <c r="S52" s="656"/>
      <c r="T52" s="656"/>
      <c r="U52" s="656"/>
      <c r="V52" s="656"/>
      <c r="W52" s="656"/>
      <c r="X52" s="656"/>
      <c r="Y52" s="656"/>
      <c r="Z52" s="656"/>
      <c r="AA52" s="657"/>
      <c r="AB52" s="644"/>
      <c r="AC52" s="645"/>
      <c r="AD52" s="645"/>
      <c r="AE52" s="645"/>
      <c r="AF52" s="645"/>
      <c r="AG52" s="645"/>
      <c r="AH52" s="645"/>
      <c r="AI52" s="645"/>
      <c r="AJ52" s="645"/>
      <c r="AK52" s="645"/>
      <c r="AL52" s="645"/>
      <c r="AM52" s="645"/>
      <c r="AN52" s="646"/>
    </row>
    <row r="53" spans="1:40" ht="13.8" customHeight="1">
      <c r="A53" s="625"/>
      <c r="B53" s="655"/>
      <c r="C53" s="656"/>
      <c r="D53" s="656"/>
      <c r="E53" s="656"/>
      <c r="F53" s="656"/>
      <c r="G53" s="656"/>
      <c r="H53" s="656"/>
      <c r="I53" s="656"/>
      <c r="J53" s="656"/>
      <c r="K53" s="656"/>
      <c r="L53" s="656"/>
      <c r="M53" s="656"/>
      <c r="N53" s="656"/>
      <c r="O53" s="656"/>
      <c r="P53" s="656"/>
      <c r="Q53" s="656"/>
      <c r="R53" s="656"/>
      <c r="S53" s="656"/>
      <c r="T53" s="656"/>
      <c r="U53" s="656"/>
      <c r="V53" s="656"/>
      <c r="W53" s="656"/>
      <c r="X53" s="656"/>
      <c r="Y53" s="656"/>
      <c r="Z53" s="656"/>
      <c r="AA53" s="657"/>
      <c r="AB53" s="644"/>
      <c r="AC53" s="645"/>
      <c r="AD53" s="645"/>
      <c r="AE53" s="645"/>
      <c r="AF53" s="645"/>
      <c r="AG53" s="645"/>
      <c r="AH53" s="645"/>
      <c r="AI53" s="645"/>
      <c r="AJ53" s="645"/>
      <c r="AK53" s="645"/>
      <c r="AL53" s="645"/>
      <c r="AM53" s="645"/>
      <c r="AN53" s="646"/>
    </row>
    <row r="54" spans="1:40" ht="13.8" customHeight="1">
      <c r="A54" s="625"/>
      <c r="B54" s="655"/>
      <c r="C54" s="656"/>
      <c r="D54" s="656"/>
      <c r="E54" s="656"/>
      <c r="F54" s="656"/>
      <c r="G54" s="656"/>
      <c r="H54" s="656"/>
      <c r="I54" s="656"/>
      <c r="J54" s="656"/>
      <c r="K54" s="656"/>
      <c r="L54" s="656"/>
      <c r="M54" s="656"/>
      <c r="N54" s="656"/>
      <c r="O54" s="656"/>
      <c r="P54" s="656"/>
      <c r="Q54" s="656"/>
      <c r="R54" s="656"/>
      <c r="S54" s="656"/>
      <c r="T54" s="656"/>
      <c r="U54" s="656"/>
      <c r="V54" s="656"/>
      <c r="W54" s="656"/>
      <c r="X54" s="656"/>
      <c r="Y54" s="656"/>
      <c r="Z54" s="656"/>
      <c r="AA54" s="657"/>
      <c r="AB54" s="644"/>
      <c r="AC54" s="645"/>
      <c r="AD54" s="645"/>
      <c r="AE54" s="645"/>
      <c r="AF54" s="645"/>
      <c r="AG54" s="645"/>
      <c r="AH54" s="645"/>
      <c r="AI54" s="645"/>
      <c r="AJ54" s="645"/>
      <c r="AK54" s="645"/>
      <c r="AL54" s="645"/>
      <c r="AM54" s="645"/>
      <c r="AN54" s="646"/>
    </row>
    <row r="55" spans="1:40" ht="13.8" customHeight="1">
      <c r="A55" s="657"/>
      <c r="B55" s="705"/>
      <c r="C55" s="706"/>
      <c r="D55" s="706"/>
      <c r="E55" s="706"/>
      <c r="F55" s="706"/>
      <c r="G55" s="706"/>
      <c r="H55" s="706"/>
      <c r="I55" s="706"/>
      <c r="J55" s="706"/>
      <c r="K55" s="706"/>
      <c r="L55" s="706"/>
      <c r="M55" s="706"/>
      <c r="N55" s="706"/>
      <c r="O55" s="706"/>
      <c r="P55" s="706"/>
      <c r="Q55" s="706"/>
      <c r="R55" s="706"/>
      <c r="S55" s="706"/>
      <c r="T55" s="706"/>
      <c r="U55" s="706"/>
      <c r="V55" s="706"/>
      <c r="W55" s="706"/>
      <c r="X55" s="706"/>
      <c r="Y55" s="706"/>
      <c r="Z55" s="706"/>
      <c r="AA55" s="707"/>
      <c r="AB55" s="655"/>
      <c r="AC55" s="645"/>
      <c r="AD55" s="645"/>
      <c r="AE55" s="645"/>
      <c r="AF55" s="645"/>
      <c r="AG55" s="645"/>
      <c r="AH55" s="645"/>
      <c r="AI55" s="645"/>
      <c r="AJ55" s="645"/>
      <c r="AK55" s="645"/>
      <c r="AL55" s="645"/>
      <c r="AM55" s="645"/>
      <c r="AN55" s="646"/>
    </row>
    <row r="56" spans="1:40" ht="13.8" customHeight="1">
      <c r="A56" s="625"/>
      <c r="B56" s="671"/>
      <c r="C56" s="645"/>
      <c r="D56" s="645"/>
      <c r="E56" s="645"/>
      <c r="F56" s="645"/>
      <c r="G56" s="645"/>
      <c r="H56" s="645"/>
      <c r="I56" s="645"/>
      <c r="J56" s="645"/>
      <c r="K56" s="645"/>
      <c r="L56" s="645"/>
      <c r="M56" s="645"/>
      <c r="N56" s="645"/>
      <c r="O56" s="645"/>
      <c r="P56" s="645"/>
      <c r="Q56" s="645"/>
      <c r="R56" s="645"/>
      <c r="S56" s="645"/>
      <c r="T56" s="645"/>
      <c r="U56" s="645"/>
      <c r="V56" s="645"/>
      <c r="W56" s="645"/>
      <c r="X56" s="645"/>
      <c r="Y56" s="645"/>
      <c r="Z56" s="645"/>
      <c r="AA56" s="708"/>
      <c r="AB56" s="644"/>
      <c r="AC56" s="645"/>
      <c r="AD56" s="645"/>
      <c r="AE56" s="645"/>
      <c r="AF56" s="645"/>
      <c r="AG56" s="645"/>
      <c r="AH56" s="645"/>
      <c r="AI56" s="645"/>
      <c r="AJ56" s="645"/>
      <c r="AK56" s="645"/>
      <c r="AL56" s="645"/>
      <c r="AM56" s="645"/>
      <c r="AN56" s="646"/>
    </row>
    <row r="57" spans="1:40" ht="13.8" customHeight="1">
      <c r="A57" s="625"/>
      <c r="B57" s="671"/>
      <c r="C57" s="645"/>
      <c r="D57" s="645"/>
      <c r="E57" s="645"/>
      <c r="F57" s="645"/>
      <c r="G57" s="645"/>
      <c r="H57" s="645"/>
      <c r="I57" s="645"/>
      <c r="J57" s="645"/>
      <c r="K57" s="645"/>
      <c r="L57" s="645"/>
      <c r="M57" s="645"/>
      <c r="N57" s="645"/>
      <c r="O57" s="645"/>
      <c r="P57" s="645"/>
      <c r="Q57" s="645"/>
      <c r="R57" s="645"/>
      <c r="S57" s="645"/>
      <c r="T57" s="645"/>
      <c r="U57" s="645"/>
      <c r="V57" s="645"/>
      <c r="W57" s="645"/>
      <c r="X57" s="645"/>
      <c r="Y57" s="645"/>
      <c r="Z57" s="645"/>
      <c r="AA57" s="708"/>
      <c r="AB57" s="644"/>
      <c r="AC57" s="645"/>
      <c r="AD57" s="645"/>
      <c r="AE57" s="645"/>
      <c r="AF57" s="645"/>
      <c r="AG57" s="645"/>
      <c r="AH57" s="645"/>
      <c r="AI57" s="645"/>
      <c r="AJ57" s="645"/>
      <c r="AK57" s="645"/>
      <c r="AL57" s="645"/>
      <c r="AM57" s="645"/>
      <c r="AN57" s="646"/>
    </row>
    <row r="58" spans="1:40" ht="13.8" customHeight="1">
      <c r="A58" s="625"/>
      <c r="B58" s="671"/>
      <c r="C58" s="645"/>
      <c r="D58" s="645"/>
      <c r="E58" s="645"/>
      <c r="F58" s="645"/>
      <c r="G58" s="645"/>
      <c r="H58" s="645"/>
      <c r="I58" s="645"/>
      <c r="J58" s="645"/>
      <c r="K58" s="645"/>
      <c r="L58" s="645"/>
      <c r="M58" s="645"/>
      <c r="N58" s="645"/>
      <c r="O58" s="645"/>
      <c r="P58" s="645"/>
      <c r="Q58" s="645"/>
      <c r="R58" s="645"/>
      <c r="S58" s="645"/>
      <c r="T58" s="645"/>
      <c r="U58" s="645"/>
      <c r="V58" s="645"/>
      <c r="W58" s="645"/>
      <c r="X58" s="645"/>
      <c r="Y58" s="645"/>
      <c r="Z58" s="645"/>
      <c r="AA58" s="708"/>
      <c r="AB58" s="644"/>
      <c r="AC58" s="645"/>
      <c r="AD58" s="645"/>
      <c r="AE58" s="645"/>
      <c r="AF58" s="645"/>
      <c r="AG58" s="645"/>
      <c r="AH58" s="645"/>
      <c r="AI58" s="645"/>
      <c r="AJ58" s="645"/>
      <c r="AK58" s="645"/>
      <c r="AL58" s="645"/>
      <c r="AM58" s="645"/>
      <c r="AN58" s="646"/>
    </row>
    <row r="59" spans="1:40" ht="13.8" customHeight="1">
      <c r="A59" s="625"/>
      <c r="B59" s="671"/>
      <c r="C59" s="645"/>
      <c r="D59" s="645"/>
      <c r="E59" s="645"/>
      <c r="F59" s="645"/>
      <c r="G59" s="645"/>
      <c r="H59" s="645"/>
      <c r="I59" s="645"/>
      <c r="J59" s="645"/>
      <c r="K59" s="645"/>
      <c r="L59" s="645"/>
      <c r="M59" s="645"/>
      <c r="N59" s="645"/>
      <c r="O59" s="645"/>
      <c r="P59" s="645"/>
      <c r="Q59" s="645"/>
      <c r="R59" s="645"/>
      <c r="S59" s="645"/>
      <c r="T59" s="645"/>
      <c r="U59" s="645"/>
      <c r="V59" s="645"/>
      <c r="W59" s="645"/>
      <c r="X59" s="645"/>
      <c r="Y59" s="645"/>
      <c r="Z59" s="645"/>
      <c r="AA59" s="708"/>
      <c r="AB59" s="644"/>
      <c r="AC59" s="645"/>
      <c r="AD59" s="645"/>
      <c r="AE59" s="645"/>
      <c r="AF59" s="645"/>
      <c r="AG59" s="645"/>
      <c r="AH59" s="645"/>
      <c r="AI59" s="645"/>
      <c r="AJ59" s="645"/>
      <c r="AK59" s="645"/>
      <c r="AL59" s="645"/>
      <c r="AM59" s="645"/>
      <c r="AN59" s="646"/>
    </row>
    <row r="60" spans="1:40" ht="13.8" customHeight="1">
      <c r="A60" s="625"/>
      <c r="B60" s="671"/>
      <c r="C60" s="645"/>
      <c r="D60" s="645"/>
      <c r="E60" s="645"/>
      <c r="F60" s="645"/>
      <c r="G60" s="645"/>
      <c r="H60" s="645"/>
      <c r="I60" s="645"/>
      <c r="J60" s="645"/>
      <c r="K60" s="645"/>
      <c r="L60" s="645"/>
      <c r="M60" s="645"/>
      <c r="N60" s="645"/>
      <c r="O60" s="645"/>
      <c r="P60" s="645"/>
      <c r="Q60" s="645"/>
      <c r="R60" s="645"/>
      <c r="S60" s="645"/>
      <c r="T60" s="645"/>
      <c r="U60" s="645"/>
      <c r="V60" s="645"/>
      <c r="W60" s="645"/>
      <c r="X60" s="645"/>
      <c r="Y60" s="645"/>
      <c r="Z60" s="645"/>
      <c r="AA60" s="708"/>
      <c r="AB60" s="644"/>
      <c r="AC60" s="645"/>
      <c r="AD60" s="645"/>
      <c r="AE60" s="645"/>
      <c r="AF60" s="645"/>
      <c r="AG60" s="645"/>
      <c r="AH60" s="645"/>
      <c r="AI60" s="645"/>
      <c r="AJ60" s="645"/>
      <c r="AK60" s="645"/>
      <c r="AL60" s="645"/>
      <c r="AM60" s="645"/>
      <c r="AN60" s="646"/>
    </row>
    <row r="61" spans="1:40" ht="13.8" customHeight="1">
      <c r="A61" s="625"/>
      <c r="B61" s="671"/>
      <c r="C61" s="645"/>
      <c r="D61" s="645"/>
      <c r="E61" s="645"/>
      <c r="F61" s="645"/>
      <c r="G61" s="645"/>
      <c r="H61" s="645"/>
      <c r="I61" s="645"/>
      <c r="J61" s="645"/>
      <c r="K61" s="645"/>
      <c r="L61" s="645"/>
      <c r="M61" s="645"/>
      <c r="N61" s="645"/>
      <c r="O61" s="645"/>
      <c r="P61" s="645"/>
      <c r="Q61" s="645"/>
      <c r="R61" s="645"/>
      <c r="S61" s="645"/>
      <c r="T61" s="645"/>
      <c r="U61" s="645"/>
      <c r="V61" s="645"/>
      <c r="W61" s="645"/>
      <c r="X61" s="645"/>
      <c r="Y61" s="645"/>
      <c r="Z61" s="645"/>
      <c r="AA61" s="708"/>
      <c r="AB61" s="644"/>
      <c r="AC61" s="645"/>
      <c r="AD61" s="645"/>
      <c r="AE61" s="645"/>
      <c r="AF61" s="645"/>
      <c r="AG61" s="645"/>
      <c r="AH61" s="645"/>
      <c r="AI61" s="645"/>
      <c r="AJ61" s="645"/>
      <c r="AK61" s="645"/>
      <c r="AL61" s="645"/>
      <c r="AM61" s="645"/>
      <c r="AN61" s="646"/>
    </row>
    <row r="62" spans="1:40" ht="13.8" customHeight="1">
      <c r="A62" s="625"/>
      <c r="B62" s="671"/>
      <c r="C62" s="645"/>
      <c r="D62" s="645"/>
      <c r="E62" s="645"/>
      <c r="F62" s="645"/>
      <c r="G62" s="645"/>
      <c r="H62" s="645"/>
      <c r="I62" s="645"/>
      <c r="J62" s="645"/>
      <c r="K62" s="645"/>
      <c r="L62" s="645"/>
      <c r="M62" s="645"/>
      <c r="N62" s="645"/>
      <c r="O62" s="645"/>
      <c r="P62" s="645"/>
      <c r="Q62" s="645"/>
      <c r="R62" s="645"/>
      <c r="S62" s="645"/>
      <c r="T62" s="645"/>
      <c r="U62" s="645"/>
      <c r="V62" s="645"/>
      <c r="W62" s="645"/>
      <c r="X62" s="645"/>
      <c r="Y62" s="645"/>
      <c r="Z62" s="645"/>
      <c r="AA62" s="708"/>
      <c r="AB62" s="644"/>
      <c r="AC62" s="645"/>
      <c r="AD62" s="645"/>
      <c r="AE62" s="645"/>
      <c r="AF62" s="645"/>
      <c r="AG62" s="645"/>
      <c r="AH62" s="645"/>
      <c r="AI62" s="645"/>
      <c r="AJ62" s="645"/>
      <c r="AK62" s="645"/>
      <c r="AL62" s="645"/>
      <c r="AM62" s="645"/>
      <c r="AN62" s="646"/>
    </row>
    <row r="63" spans="1:40" ht="13.8" customHeight="1">
      <c r="A63" s="625"/>
      <c r="B63" s="671"/>
      <c r="C63" s="645"/>
      <c r="D63" s="645"/>
      <c r="E63" s="645"/>
      <c r="F63" s="645"/>
      <c r="G63" s="645"/>
      <c r="H63" s="645"/>
      <c r="I63" s="645"/>
      <c r="J63" s="645"/>
      <c r="K63" s="645"/>
      <c r="L63" s="645"/>
      <c r="M63" s="645"/>
      <c r="N63" s="645"/>
      <c r="O63" s="645"/>
      <c r="P63" s="645"/>
      <c r="Q63" s="645"/>
      <c r="R63" s="645"/>
      <c r="S63" s="645"/>
      <c r="T63" s="645"/>
      <c r="U63" s="645"/>
      <c r="V63" s="645"/>
      <c r="W63" s="645"/>
      <c r="X63" s="645"/>
      <c r="Y63" s="645"/>
      <c r="Z63" s="645"/>
      <c r="AA63" s="708"/>
      <c r="AB63" s="644"/>
      <c r="AC63" s="645"/>
      <c r="AD63" s="645"/>
      <c r="AE63" s="645"/>
      <c r="AF63" s="645"/>
      <c r="AG63" s="645"/>
      <c r="AH63" s="645"/>
      <c r="AI63" s="645"/>
      <c r="AJ63" s="645"/>
      <c r="AK63" s="645"/>
      <c r="AL63" s="645"/>
      <c r="AM63" s="645"/>
      <c r="AN63" s="646"/>
    </row>
    <row r="64" spans="1:40" ht="13.8" customHeight="1">
      <c r="A64" s="625"/>
      <c r="B64" s="671"/>
      <c r="C64" s="645"/>
      <c r="D64" s="645"/>
      <c r="E64" s="645"/>
      <c r="F64" s="645"/>
      <c r="G64" s="645"/>
      <c r="H64" s="645"/>
      <c r="I64" s="645"/>
      <c r="J64" s="645"/>
      <c r="K64" s="645"/>
      <c r="L64" s="645"/>
      <c r="M64" s="645"/>
      <c r="N64" s="645"/>
      <c r="O64" s="645"/>
      <c r="P64" s="645"/>
      <c r="Q64" s="645"/>
      <c r="R64" s="645"/>
      <c r="S64" s="645"/>
      <c r="T64" s="645"/>
      <c r="U64" s="645"/>
      <c r="V64" s="645"/>
      <c r="W64" s="645"/>
      <c r="X64" s="645"/>
      <c r="Y64" s="645"/>
      <c r="Z64" s="645"/>
      <c r="AA64" s="708"/>
      <c r="AB64" s="644"/>
      <c r="AC64" s="645"/>
      <c r="AD64" s="645"/>
      <c r="AE64" s="645"/>
      <c r="AF64" s="645"/>
      <c r="AG64" s="645"/>
      <c r="AH64" s="645"/>
      <c r="AI64" s="645"/>
      <c r="AJ64" s="645"/>
      <c r="AK64" s="645"/>
      <c r="AL64" s="645"/>
      <c r="AM64" s="645"/>
      <c r="AN64" s="646"/>
    </row>
    <row r="65" spans="1:40" ht="13.8" customHeight="1">
      <c r="A65" s="625"/>
      <c r="B65" s="671"/>
      <c r="C65" s="645"/>
      <c r="D65" s="645"/>
      <c r="E65" s="645"/>
      <c r="F65" s="645"/>
      <c r="G65" s="645"/>
      <c r="H65" s="645"/>
      <c r="I65" s="645"/>
      <c r="J65" s="645"/>
      <c r="K65" s="645"/>
      <c r="L65" s="645"/>
      <c r="M65" s="645"/>
      <c r="N65" s="645"/>
      <c r="O65" s="645"/>
      <c r="P65" s="645"/>
      <c r="Q65" s="645"/>
      <c r="R65" s="645"/>
      <c r="S65" s="645"/>
      <c r="T65" s="645"/>
      <c r="U65" s="645"/>
      <c r="V65" s="645"/>
      <c r="W65" s="645"/>
      <c r="X65" s="645"/>
      <c r="Y65" s="645"/>
      <c r="Z65" s="645"/>
      <c r="AA65" s="708"/>
      <c r="AB65" s="644"/>
      <c r="AC65" s="645"/>
      <c r="AD65" s="645"/>
      <c r="AE65" s="645"/>
      <c r="AF65" s="645"/>
      <c r="AG65" s="645"/>
      <c r="AH65" s="645"/>
      <c r="AI65" s="645"/>
      <c r="AJ65" s="645"/>
      <c r="AK65" s="645"/>
      <c r="AL65" s="645"/>
      <c r="AM65" s="645"/>
      <c r="AN65" s="646"/>
    </row>
    <row r="66" spans="1:40" ht="13.8" customHeight="1">
      <c r="A66" s="625"/>
      <c r="B66" s="671"/>
      <c r="C66" s="645"/>
      <c r="D66" s="645"/>
      <c r="E66" s="645"/>
      <c r="F66" s="645"/>
      <c r="G66" s="645"/>
      <c r="H66" s="645"/>
      <c r="I66" s="645"/>
      <c r="J66" s="645"/>
      <c r="K66" s="645"/>
      <c r="L66" s="645"/>
      <c r="M66" s="645"/>
      <c r="N66" s="645"/>
      <c r="O66" s="645"/>
      <c r="P66" s="645"/>
      <c r="Q66" s="645"/>
      <c r="R66" s="645"/>
      <c r="S66" s="645"/>
      <c r="T66" s="645"/>
      <c r="U66" s="645"/>
      <c r="V66" s="645"/>
      <c r="W66" s="645"/>
      <c r="X66" s="645"/>
      <c r="Y66" s="645"/>
      <c r="Z66" s="645"/>
      <c r="AA66" s="708"/>
      <c r="AB66" s="644"/>
      <c r="AC66" s="645"/>
      <c r="AD66" s="645"/>
      <c r="AE66" s="645"/>
      <c r="AF66" s="645"/>
      <c r="AG66" s="645"/>
      <c r="AH66" s="645"/>
      <c r="AI66" s="645"/>
      <c r="AJ66" s="645"/>
      <c r="AK66" s="645"/>
      <c r="AL66" s="645"/>
      <c r="AM66" s="645"/>
      <c r="AN66" s="646"/>
    </row>
    <row r="67" spans="1:40" ht="13.8" customHeight="1">
      <c r="A67" s="625"/>
      <c r="B67" s="671"/>
      <c r="C67" s="645"/>
      <c r="D67" s="645"/>
      <c r="E67" s="645"/>
      <c r="F67" s="645"/>
      <c r="G67" s="645"/>
      <c r="H67" s="645"/>
      <c r="I67" s="645"/>
      <c r="J67" s="645"/>
      <c r="K67" s="645"/>
      <c r="L67" s="645"/>
      <c r="M67" s="645"/>
      <c r="N67" s="645"/>
      <c r="O67" s="645"/>
      <c r="P67" s="645"/>
      <c r="Q67" s="645"/>
      <c r="R67" s="645"/>
      <c r="S67" s="645"/>
      <c r="T67" s="645"/>
      <c r="U67" s="645"/>
      <c r="V67" s="645"/>
      <c r="W67" s="645"/>
      <c r="X67" s="645"/>
      <c r="Y67" s="645"/>
      <c r="Z67" s="645"/>
      <c r="AA67" s="708"/>
      <c r="AB67" s="644"/>
      <c r="AC67" s="645"/>
      <c r="AD67" s="645"/>
      <c r="AE67" s="645"/>
      <c r="AF67" s="645"/>
      <c r="AG67" s="645"/>
      <c r="AH67" s="645"/>
      <c r="AI67" s="645"/>
      <c r="AJ67" s="645"/>
      <c r="AK67" s="645"/>
      <c r="AL67" s="645"/>
      <c r="AM67" s="645"/>
      <c r="AN67" s="646"/>
    </row>
    <row r="68" spans="1:40" ht="13.8" customHeight="1">
      <c r="A68" s="625"/>
      <c r="B68" s="671"/>
      <c r="C68" s="645"/>
      <c r="D68" s="645"/>
      <c r="E68" s="645"/>
      <c r="F68" s="645"/>
      <c r="G68" s="645"/>
      <c r="H68" s="645"/>
      <c r="I68" s="645"/>
      <c r="J68" s="645"/>
      <c r="K68" s="645"/>
      <c r="L68" s="645"/>
      <c r="M68" s="645"/>
      <c r="N68" s="645"/>
      <c r="O68" s="645"/>
      <c r="P68" s="645"/>
      <c r="Q68" s="645"/>
      <c r="R68" s="645"/>
      <c r="S68" s="645"/>
      <c r="T68" s="645"/>
      <c r="U68" s="645"/>
      <c r="V68" s="645"/>
      <c r="W68" s="645"/>
      <c r="X68" s="645"/>
      <c r="Y68" s="645"/>
      <c r="Z68" s="645"/>
      <c r="AA68" s="708"/>
      <c r="AB68" s="644"/>
      <c r="AC68" s="645"/>
      <c r="AD68" s="645"/>
      <c r="AE68" s="645"/>
      <c r="AF68" s="645"/>
      <c r="AG68" s="645"/>
      <c r="AH68" s="645"/>
      <c r="AI68" s="645"/>
      <c r="AJ68" s="645"/>
      <c r="AK68" s="645"/>
      <c r="AL68" s="645"/>
      <c r="AM68" s="645"/>
      <c r="AN68" s="646"/>
    </row>
    <row r="69" spans="1:40" ht="13.8" customHeight="1">
      <c r="A69" s="625"/>
      <c r="B69" s="671"/>
      <c r="C69" s="645"/>
      <c r="D69" s="645"/>
      <c r="E69" s="645"/>
      <c r="F69" s="645"/>
      <c r="G69" s="645"/>
      <c r="H69" s="645"/>
      <c r="I69" s="645"/>
      <c r="J69" s="645"/>
      <c r="K69" s="645"/>
      <c r="L69" s="645"/>
      <c r="M69" s="645"/>
      <c r="N69" s="645"/>
      <c r="O69" s="645"/>
      <c r="P69" s="645"/>
      <c r="Q69" s="645"/>
      <c r="R69" s="645"/>
      <c r="S69" s="645"/>
      <c r="T69" s="645"/>
      <c r="U69" s="645"/>
      <c r="V69" s="645"/>
      <c r="W69" s="645"/>
      <c r="X69" s="645"/>
      <c r="Y69" s="645"/>
      <c r="Z69" s="645"/>
      <c r="AA69" s="708"/>
      <c r="AB69" s="644"/>
      <c r="AC69" s="645"/>
      <c r="AD69" s="645"/>
      <c r="AE69" s="645"/>
      <c r="AF69" s="645"/>
      <c r="AG69" s="645"/>
      <c r="AH69" s="645"/>
      <c r="AI69" s="645"/>
      <c r="AJ69" s="645"/>
      <c r="AK69" s="645"/>
      <c r="AL69" s="645"/>
      <c r="AM69" s="645"/>
      <c r="AN69" s="646"/>
    </row>
    <row r="70" spans="1:40" ht="13.8" customHeight="1">
      <c r="A70" s="625"/>
      <c r="B70" s="671"/>
      <c r="C70" s="645"/>
      <c r="D70" s="645"/>
      <c r="E70" s="645"/>
      <c r="F70" s="645"/>
      <c r="G70" s="645"/>
      <c r="H70" s="645"/>
      <c r="I70" s="645"/>
      <c r="J70" s="645"/>
      <c r="K70" s="645"/>
      <c r="L70" s="645"/>
      <c r="M70" s="645"/>
      <c r="N70" s="645"/>
      <c r="O70" s="645"/>
      <c r="P70" s="645"/>
      <c r="Q70" s="645"/>
      <c r="R70" s="645"/>
      <c r="S70" s="645"/>
      <c r="T70" s="645"/>
      <c r="U70" s="645"/>
      <c r="V70" s="645"/>
      <c r="W70" s="645"/>
      <c r="X70" s="645"/>
      <c r="Y70" s="645"/>
      <c r="Z70" s="645"/>
      <c r="AA70" s="708"/>
      <c r="AB70" s="644"/>
      <c r="AC70" s="645"/>
      <c r="AD70" s="645"/>
      <c r="AE70" s="645"/>
      <c r="AF70" s="645"/>
      <c r="AG70" s="645"/>
      <c r="AH70" s="645"/>
      <c r="AI70" s="645"/>
      <c r="AJ70" s="645"/>
      <c r="AK70" s="645"/>
      <c r="AL70" s="645"/>
      <c r="AM70" s="645"/>
      <c r="AN70" s="646"/>
    </row>
    <row r="71" spans="1:40" ht="13.8" customHeight="1">
      <c r="A71" s="625"/>
      <c r="B71" s="671"/>
      <c r="C71" s="645"/>
      <c r="D71" s="645"/>
      <c r="E71" s="645"/>
      <c r="F71" s="645"/>
      <c r="G71" s="645"/>
      <c r="H71" s="645"/>
      <c r="I71" s="645"/>
      <c r="J71" s="645"/>
      <c r="K71" s="645"/>
      <c r="L71" s="645"/>
      <c r="M71" s="645"/>
      <c r="N71" s="645"/>
      <c r="O71" s="645"/>
      <c r="P71" s="645"/>
      <c r="Q71" s="645"/>
      <c r="R71" s="645"/>
      <c r="S71" s="645"/>
      <c r="T71" s="645"/>
      <c r="U71" s="645"/>
      <c r="V71" s="645"/>
      <c r="W71" s="645"/>
      <c r="X71" s="645"/>
      <c r="Y71" s="645"/>
      <c r="Z71" s="645"/>
      <c r="AA71" s="708"/>
      <c r="AB71" s="644"/>
      <c r="AC71" s="645"/>
      <c r="AD71" s="645"/>
      <c r="AE71" s="645"/>
      <c r="AF71" s="645"/>
      <c r="AG71" s="645"/>
      <c r="AH71" s="645"/>
      <c r="AI71" s="645"/>
      <c r="AJ71" s="645"/>
      <c r="AK71" s="645"/>
      <c r="AL71" s="645"/>
      <c r="AM71" s="645"/>
      <c r="AN71" s="646"/>
    </row>
    <row r="72" spans="1:40" ht="13.8" customHeight="1">
      <c r="A72" s="625"/>
      <c r="B72" s="671"/>
      <c r="C72" s="645"/>
      <c r="D72" s="645"/>
      <c r="E72" s="645"/>
      <c r="F72" s="645"/>
      <c r="G72" s="645"/>
      <c r="H72" s="645"/>
      <c r="I72" s="645"/>
      <c r="J72" s="645"/>
      <c r="K72" s="645"/>
      <c r="L72" s="645"/>
      <c r="M72" s="645"/>
      <c r="N72" s="645"/>
      <c r="O72" s="645"/>
      <c r="P72" s="645"/>
      <c r="Q72" s="645"/>
      <c r="R72" s="645"/>
      <c r="S72" s="645"/>
      <c r="T72" s="645"/>
      <c r="U72" s="645"/>
      <c r="V72" s="645"/>
      <c r="W72" s="645"/>
      <c r="X72" s="645"/>
      <c r="Y72" s="645"/>
      <c r="Z72" s="645"/>
      <c r="AA72" s="708"/>
      <c r="AB72" s="644"/>
      <c r="AC72" s="645"/>
      <c r="AD72" s="645"/>
      <c r="AE72" s="645"/>
      <c r="AF72" s="645"/>
      <c r="AG72" s="645"/>
      <c r="AH72" s="645"/>
      <c r="AI72" s="645"/>
      <c r="AJ72" s="645"/>
      <c r="AK72" s="645"/>
      <c r="AL72" s="645"/>
      <c r="AM72" s="645"/>
      <c r="AN72" s="646"/>
    </row>
    <row r="73" spans="1:40" ht="13.8" customHeight="1">
      <c r="A73" s="625"/>
      <c r="B73" s="671"/>
      <c r="C73" s="645"/>
      <c r="D73" s="645"/>
      <c r="E73" s="645"/>
      <c r="F73" s="645"/>
      <c r="G73" s="645"/>
      <c r="H73" s="645"/>
      <c r="I73" s="645"/>
      <c r="J73" s="645"/>
      <c r="K73" s="645"/>
      <c r="L73" s="645"/>
      <c r="M73" s="645"/>
      <c r="N73" s="645"/>
      <c r="O73" s="645"/>
      <c r="P73" s="645"/>
      <c r="Q73" s="645"/>
      <c r="R73" s="645"/>
      <c r="S73" s="645"/>
      <c r="T73" s="645"/>
      <c r="U73" s="645"/>
      <c r="V73" s="645"/>
      <c r="W73" s="645"/>
      <c r="X73" s="645"/>
      <c r="Y73" s="645"/>
      <c r="Z73" s="645"/>
      <c r="AA73" s="708"/>
      <c r="AB73" s="644"/>
      <c r="AC73" s="645"/>
      <c r="AD73" s="645"/>
      <c r="AE73" s="645"/>
      <c r="AF73" s="645"/>
      <c r="AG73" s="645"/>
      <c r="AH73" s="645"/>
      <c r="AI73" s="645"/>
      <c r="AJ73" s="645"/>
      <c r="AK73" s="645"/>
      <c r="AL73" s="645"/>
      <c r="AM73" s="645"/>
      <c r="AN73" s="646"/>
    </row>
    <row r="74" spans="1:40" ht="13.8" customHeight="1">
      <c r="A74" s="625"/>
      <c r="B74" s="671"/>
      <c r="C74" s="645"/>
      <c r="D74" s="645"/>
      <c r="E74" s="645"/>
      <c r="F74" s="645"/>
      <c r="G74" s="645"/>
      <c r="H74" s="645"/>
      <c r="I74" s="645"/>
      <c r="J74" s="645"/>
      <c r="K74" s="645"/>
      <c r="L74" s="645"/>
      <c r="M74" s="645"/>
      <c r="N74" s="645"/>
      <c r="O74" s="645"/>
      <c r="P74" s="645"/>
      <c r="Q74" s="645"/>
      <c r="R74" s="645"/>
      <c r="S74" s="645"/>
      <c r="T74" s="645"/>
      <c r="U74" s="645"/>
      <c r="V74" s="645"/>
      <c r="W74" s="645"/>
      <c r="X74" s="645"/>
      <c r="Y74" s="645"/>
      <c r="Z74" s="645"/>
      <c r="AA74" s="708"/>
      <c r="AB74" s="644"/>
      <c r="AC74" s="645"/>
      <c r="AD74" s="645"/>
      <c r="AE74" s="645"/>
      <c r="AF74" s="645"/>
      <c r="AG74" s="645"/>
      <c r="AH74" s="645"/>
      <c r="AI74" s="645"/>
      <c r="AJ74" s="645"/>
      <c r="AK74" s="645"/>
      <c r="AL74" s="645"/>
      <c r="AM74" s="645"/>
      <c r="AN74" s="646"/>
    </row>
    <row r="75" spans="1:40" ht="13.8" customHeight="1">
      <c r="A75" s="625"/>
      <c r="B75" s="671"/>
      <c r="C75" s="645"/>
      <c r="D75" s="645"/>
      <c r="E75" s="645"/>
      <c r="F75" s="645"/>
      <c r="G75" s="645"/>
      <c r="H75" s="645"/>
      <c r="I75" s="645"/>
      <c r="J75" s="645"/>
      <c r="K75" s="645"/>
      <c r="L75" s="645"/>
      <c r="M75" s="645"/>
      <c r="N75" s="645"/>
      <c r="O75" s="645"/>
      <c r="P75" s="645"/>
      <c r="Q75" s="645"/>
      <c r="R75" s="645"/>
      <c r="S75" s="645"/>
      <c r="T75" s="645"/>
      <c r="U75" s="645"/>
      <c r="V75" s="645"/>
      <c r="W75" s="645"/>
      <c r="X75" s="645"/>
      <c r="Y75" s="645"/>
      <c r="Z75" s="645"/>
      <c r="AA75" s="708"/>
      <c r="AB75" s="644"/>
      <c r="AC75" s="645"/>
      <c r="AD75" s="645"/>
      <c r="AE75" s="645"/>
      <c r="AF75" s="645"/>
      <c r="AG75" s="645"/>
      <c r="AH75" s="645"/>
      <c r="AI75" s="645"/>
      <c r="AJ75" s="645"/>
      <c r="AK75" s="645"/>
      <c r="AL75" s="645"/>
      <c r="AM75" s="645"/>
      <c r="AN75" s="646"/>
    </row>
    <row r="76" spans="1:40" ht="13.8" customHeight="1">
      <c r="A76" s="625"/>
      <c r="B76" s="671"/>
      <c r="C76" s="645"/>
      <c r="D76" s="645"/>
      <c r="E76" s="645"/>
      <c r="F76" s="645"/>
      <c r="G76" s="645"/>
      <c r="H76" s="645"/>
      <c r="I76" s="645"/>
      <c r="J76" s="645"/>
      <c r="K76" s="645"/>
      <c r="L76" s="645"/>
      <c r="M76" s="645"/>
      <c r="N76" s="645"/>
      <c r="O76" s="645"/>
      <c r="P76" s="645"/>
      <c r="Q76" s="645"/>
      <c r="R76" s="645"/>
      <c r="S76" s="645"/>
      <c r="T76" s="645"/>
      <c r="U76" s="645"/>
      <c r="V76" s="645"/>
      <c r="W76" s="645"/>
      <c r="X76" s="645"/>
      <c r="Y76" s="645"/>
      <c r="Z76" s="645"/>
      <c r="AA76" s="708"/>
      <c r="AB76" s="644"/>
      <c r="AC76" s="645"/>
      <c r="AD76" s="645"/>
      <c r="AE76" s="645"/>
      <c r="AF76" s="645"/>
      <c r="AG76" s="645"/>
      <c r="AH76" s="645"/>
      <c r="AI76" s="645"/>
      <c r="AJ76" s="645"/>
      <c r="AK76" s="645"/>
      <c r="AL76" s="645"/>
      <c r="AM76" s="645"/>
      <c r="AN76" s="646"/>
    </row>
    <row r="77" spans="1:40" ht="13.8" customHeight="1">
      <c r="A77" s="625"/>
      <c r="B77" s="671"/>
      <c r="C77" s="645"/>
      <c r="D77" s="645"/>
      <c r="E77" s="645"/>
      <c r="F77" s="645"/>
      <c r="G77" s="645"/>
      <c r="H77" s="645"/>
      <c r="I77" s="645"/>
      <c r="J77" s="645"/>
      <c r="K77" s="645"/>
      <c r="L77" s="645"/>
      <c r="M77" s="645"/>
      <c r="N77" s="645"/>
      <c r="O77" s="645"/>
      <c r="P77" s="645"/>
      <c r="Q77" s="645"/>
      <c r="R77" s="645"/>
      <c r="S77" s="645"/>
      <c r="T77" s="645"/>
      <c r="U77" s="645"/>
      <c r="V77" s="645"/>
      <c r="W77" s="645"/>
      <c r="X77" s="645"/>
      <c r="Y77" s="645"/>
      <c r="Z77" s="645"/>
      <c r="AA77" s="708"/>
      <c r="AB77" s="644"/>
      <c r="AC77" s="645"/>
      <c r="AD77" s="645"/>
      <c r="AE77" s="645"/>
      <c r="AF77" s="645"/>
      <c r="AG77" s="645"/>
      <c r="AH77" s="645"/>
      <c r="AI77" s="645"/>
      <c r="AJ77" s="645"/>
      <c r="AK77" s="645"/>
      <c r="AL77" s="645"/>
      <c r="AM77" s="645"/>
      <c r="AN77" s="646"/>
    </row>
    <row r="78" spans="1:40" ht="13.8" customHeight="1">
      <c r="A78" s="625"/>
      <c r="B78" s="671"/>
      <c r="C78" s="645"/>
      <c r="D78" s="645"/>
      <c r="E78" s="645"/>
      <c r="F78" s="645"/>
      <c r="G78" s="645"/>
      <c r="H78" s="645"/>
      <c r="I78" s="645"/>
      <c r="J78" s="645"/>
      <c r="K78" s="645"/>
      <c r="L78" s="645"/>
      <c r="M78" s="645"/>
      <c r="N78" s="645"/>
      <c r="O78" s="645"/>
      <c r="P78" s="645"/>
      <c r="Q78" s="645"/>
      <c r="R78" s="645"/>
      <c r="S78" s="645"/>
      <c r="T78" s="645"/>
      <c r="U78" s="645"/>
      <c r="V78" s="645"/>
      <c r="W78" s="645"/>
      <c r="X78" s="645"/>
      <c r="Y78" s="645"/>
      <c r="Z78" s="645"/>
      <c r="AA78" s="708"/>
      <c r="AB78" s="644"/>
      <c r="AC78" s="645"/>
      <c r="AD78" s="645"/>
      <c r="AE78" s="645"/>
      <c r="AF78" s="645"/>
      <c r="AG78" s="645"/>
      <c r="AH78" s="645"/>
      <c r="AI78" s="645"/>
      <c r="AJ78" s="645"/>
      <c r="AK78" s="645"/>
      <c r="AL78" s="645"/>
      <c r="AM78" s="645"/>
      <c r="AN78" s="646"/>
    </row>
    <row r="79" spans="1:40" ht="13.8" customHeight="1">
      <c r="A79" s="625"/>
      <c r="B79" s="671"/>
      <c r="C79" s="645"/>
      <c r="D79" s="645"/>
      <c r="E79" s="645"/>
      <c r="F79" s="645"/>
      <c r="G79" s="645"/>
      <c r="H79" s="645"/>
      <c r="I79" s="645"/>
      <c r="J79" s="645"/>
      <c r="K79" s="645"/>
      <c r="L79" s="645"/>
      <c r="M79" s="645"/>
      <c r="N79" s="645"/>
      <c r="O79" s="645"/>
      <c r="P79" s="645"/>
      <c r="Q79" s="645"/>
      <c r="R79" s="645"/>
      <c r="S79" s="645"/>
      <c r="T79" s="645"/>
      <c r="U79" s="645"/>
      <c r="V79" s="645"/>
      <c r="W79" s="645"/>
      <c r="X79" s="645"/>
      <c r="Y79" s="645"/>
      <c r="Z79" s="645"/>
      <c r="AA79" s="708"/>
      <c r="AB79" s="644"/>
      <c r="AC79" s="645"/>
      <c r="AD79" s="645"/>
      <c r="AE79" s="645"/>
      <c r="AF79" s="645"/>
      <c r="AG79" s="645"/>
      <c r="AH79" s="645"/>
      <c r="AI79" s="645"/>
      <c r="AJ79" s="645"/>
      <c r="AK79" s="645"/>
      <c r="AL79" s="645"/>
      <c r="AM79" s="645"/>
      <c r="AN79" s="646"/>
    </row>
    <row r="80" spans="1:40" ht="13.8" customHeight="1">
      <c r="A80" s="625"/>
      <c r="B80" s="671"/>
      <c r="C80" s="645"/>
      <c r="D80" s="645"/>
      <c r="E80" s="645"/>
      <c r="F80" s="645"/>
      <c r="G80" s="645"/>
      <c r="H80" s="645"/>
      <c r="I80" s="645"/>
      <c r="J80" s="645"/>
      <c r="K80" s="645"/>
      <c r="L80" s="645"/>
      <c r="M80" s="645"/>
      <c r="N80" s="645"/>
      <c r="O80" s="645"/>
      <c r="P80" s="645"/>
      <c r="Q80" s="645"/>
      <c r="R80" s="645"/>
      <c r="S80" s="645"/>
      <c r="T80" s="645"/>
      <c r="U80" s="645"/>
      <c r="V80" s="645"/>
      <c r="W80" s="645"/>
      <c r="X80" s="645"/>
      <c r="Y80" s="645"/>
      <c r="Z80" s="645"/>
      <c r="AA80" s="708"/>
      <c r="AB80" s="644"/>
      <c r="AC80" s="645"/>
      <c r="AD80" s="645"/>
      <c r="AE80" s="645"/>
      <c r="AF80" s="645"/>
      <c r="AG80" s="645"/>
      <c r="AH80" s="645"/>
      <c r="AI80" s="645"/>
      <c r="AJ80" s="645"/>
      <c r="AK80" s="645"/>
      <c r="AL80" s="645"/>
      <c r="AM80" s="645"/>
      <c r="AN80" s="646"/>
    </row>
    <row r="81" spans="1:40" ht="13.8" customHeight="1">
      <c r="A81" s="625"/>
      <c r="B81" s="671"/>
      <c r="C81" s="645"/>
      <c r="D81" s="645"/>
      <c r="E81" s="645"/>
      <c r="F81" s="645"/>
      <c r="G81" s="645"/>
      <c r="H81" s="645"/>
      <c r="I81" s="645"/>
      <c r="J81" s="645"/>
      <c r="K81" s="645"/>
      <c r="L81" s="645"/>
      <c r="M81" s="645"/>
      <c r="N81" s="645"/>
      <c r="O81" s="645"/>
      <c r="P81" s="645"/>
      <c r="Q81" s="645"/>
      <c r="R81" s="645"/>
      <c r="S81" s="645"/>
      <c r="T81" s="645"/>
      <c r="U81" s="645"/>
      <c r="V81" s="645"/>
      <c r="W81" s="645"/>
      <c r="X81" s="645"/>
      <c r="Y81" s="645"/>
      <c r="Z81" s="645"/>
      <c r="AA81" s="708"/>
      <c r="AB81" s="644"/>
      <c r="AC81" s="645"/>
      <c r="AD81" s="645"/>
      <c r="AE81" s="645"/>
      <c r="AF81" s="645"/>
      <c r="AG81" s="645"/>
      <c r="AH81" s="645"/>
      <c r="AI81" s="645"/>
      <c r="AJ81" s="645"/>
      <c r="AK81" s="645"/>
      <c r="AL81" s="645"/>
      <c r="AM81" s="645"/>
      <c r="AN81" s="646"/>
    </row>
    <row r="82" spans="1:40" ht="13.8" customHeight="1">
      <c r="A82" s="625"/>
      <c r="B82" s="671"/>
      <c r="C82" s="645"/>
      <c r="D82" s="645"/>
      <c r="E82" s="645"/>
      <c r="F82" s="645"/>
      <c r="G82" s="645"/>
      <c r="H82" s="645"/>
      <c r="I82" s="645"/>
      <c r="J82" s="645"/>
      <c r="K82" s="645"/>
      <c r="L82" s="645"/>
      <c r="M82" s="645"/>
      <c r="N82" s="645"/>
      <c r="O82" s="645"/>
      <c r="P82" s="645"/>
      <c r="Q82" s="645"/>
      <c r="R82" s="645"/>
      <c r="S82" s="645"/>
      <c r="T82" s="645"/>
      <c r="U82" s="645"/>
      <c r="V82" s="645"/>
      <c r="W82" s="645"/>
      <c r="X82" s="645"/>
      <c r="Y82" s="645"/>
      <c r="Z82" s="645"/>
      <c r="AA82" s="708"/>
      <c r="AB82" s="644"/>
      <c r="AC82" s="645"/>
      <c r="AD82" s="645"/>
      <c r="AE82" s="645"/>
      <c r="AF82" s="645"/>
      <c r="AG82" s="645"/>
      <c r="AH82" s="645"/>
      <c r="AI82" s="645"/>
      <c r="AJ82" s="645"/>
      <c r="AK82" s="645"/>
      <c r="AL82" s="645"/>
      <c r="AM82" s="645"/>
      <c r="AN82" s="646"/>
    </row>
    <row r="83" spans="1:40" ht="13.8" customHeight="1">
      <c r="A83" s="625"/>
      <c r="B83" s="671"/>
      <c r="C83" s="645"/>
      <c r="D83" s="645"/>
      <c r="E83" s="645"/>
      <c r="F83" s="645"/>
      <c r="G83" s="645"/>
      <c r="H83" s="645"/>
      <c r="I83" s="645"/>
      <c r="J83" s="645"/>
      <c r="K83" s="645"/>
      <c r="L83" s="645"/>
      <c r="M83" s="645"/>
      <c r="N83" s="645"/>
      <c r="O83" s="645"/>
      <c r="P83" s="645"/>
      <c r="Q83" s="645"/>
      <c r="R83" s="645"/>
      <c r="S83" s="645"/>
      <c r="T83" s="645"/>
      <c r="U83" s="645"/>
      <c r="V83" s="645"/>
      <c r="W83" s="645"/>
      <c r="X83" s="645"/>
      <c r="Y83" s="645"/>
      <c r="Z83" s="645"/>
      <c r="AA83" s="708"/>
      <c r="AB83" s="644"/>
      <c r="AC83" s="645"/>
      <c r="AD83" s="645"/>
      <c r="AE83" s="645"/>
      <c r="AF83" s="645"/>
      <c r="AG83" s="645"/>
      <c r="AH83" s="645"/>
      <c r="AI83" s="645"/>
      <c r="AJ83" s="645"/>
      <c r="AK83" s="645"/>
      <c r="AL83" s="645"/>
      <c r="AM83" s="645"/>
      <c r="AN83" s="646"/>
    </row>
    <row r="84" spans="1:40" ht="13.8" customHeight="1">
      <c r="A84" s="625"/>
      <c r="B84" s="671"/>
      <c r="C84" s="645"/>
      <c r="D84" s="645"/>
      <c r="E84" s="645"/>
      <c r="F84" s="645"/>
      <c r="G84" s="645"/>
      <c r="H84" s="645"/>
      <c r="I84" s="645"/>
      <c r="J84" s="645"/>
      <c r="K84" s="645"/>
      <c r="L84" s="645"/>
      <c r="M84" s="645"/>
      <c r="N84" s="645"/>
      <c r="O84" s="645"/>
      <c r="P84" s="645"/>
      <c r="Q84" s="645"/>
      <c r="R84" s="645"/>
      <c r="S84" s="645"/>
      <c r="T84" s="645"/>
      <c r="U84" s="645"/>
      <c r="V84" s="645"/>
      <c r="W84" s="645"/>
      <c r="X84" s="645"/>
      <c r="Y84" s="645"/>
      <c r="Z84" s="645"/>
      <c r="AA84" s="708"/>
      <c r="AB84" s="644"/>
      <c r="AC84" s="645"/>
      <c r="AD84" s="645"/>
      <c r="AE84" s="645"/>
      <c r="AF84" s="645"/>
      <c r="AG84" s="645"/>
      <c r="AH84" s="645"/>
      <c r="AI84" s="645"/>
      <c r="AJ84" s="645"/>
      <c r="AK84" s="645"/>
      <c r="AL84" s="645"/>
      <c r="AM84" s="645"/>
      <c r="AN84" s="646"/>
    </row>
    <row r="85" spans="1:40" ht="13.8" customHeight="1">
      <c r="A85" s="625"/>
      <c r="B85" s="671"/>
      <c r="C85" s="645"/>
      <c r="D85" s="645"/>
      <c r="E85" s="645"/>
      <c r="F85" s="645"/>
      <c r="G85" s="645"/>
      <c r="H85" s="645"/>
      <c r="I85" s="645"/>
      <c r="J85" s="645"/>
      <c r="K85" s="645"/>
      <c r="L85" s="645"/>
      <c r="M85" s="645"/>
      <c r="N85" s="645"/>
      <c r="O85" s="645"/>
      <c r="P85" s="645"/>
      <c r="Q85" s="645"/>
      <c r="R85" s="645"/>
      <c r="S85" s="645"/>
      <c r="T85" s="645"/>
      <c r="U85" s="645"/>
      <c r="V85" s="645"/>
      <c r="W85" s="645"/>
      <c r="X85" s="645"/>
      <c r="Y85" s="645"/>
      <c r="Z85" s="645"/>
      <c r="AA85" s="708"/>
      <c r="AB85" s="644"/>
      <c r="AC85" s="645"/>
      <c r="AD85" s="645"/>
      <c r="AE85" s="645"/>
      <c r="AF85" s="645"/>
      <c r="AG85" s="645"/>
      <c r="AH85" s="645"/>
      <c r="AI85" s="645"/>
      <c r="AJ85" s="645"/>
      <c r="AK85" s="645"/>
      <c r="AL85" s="645"/>
      <c r="AM85" s="645"/>
      <c r="AN85" s="646"/>
    </row>
    <row r="86" spans="1:40" ht="13.8" customHeight="1">
      <c r="A86" s="625"/>
      <c r="B86" s="671"/>
      <c r="C86" s="645"/>
      <c r="D86" s="645"/>
      <c r="E86" s="645"/>
      <c r="F86" s="645"/>
      <c r="G86" s="645"/>
      <c r="H86" s="645"/>
      <c r="I86" s="645"/>
      <c r="J86" s="645"/>
      <c r="K86" s="645"/>
      <c r="L86" s="645"/>
      <c r="M86" s="645"/>
      <c r="N86" s="645"/>
      <c r="O86" s="645"/>
      <c r="P86" s="645"/>
      <c r="Q86" s="645"/>
      <c r="R86" s="645"/>
      <c r="S86" s="645"/>
      <c r="T86" s="645"/>
      <c r="U86" s="645"/>
      <c r="V86" s="645"/>
      <c r="W86" s="645"/>
      <c r="X86" s="645"/>
      <c r="Y86" s="645"/>
      <c r="Z86" s="645"/>
      <c r="AA86" s="708"/>
      <c r="AB86" s="644"/>
      <c r="AC86" s="645"/>
      <c r="AD86" s="645"/>
      <c r="AE86" s="645"/>
      <c r="AF86" s="645"/>
      <c r="AG86" s="645"/>
      <c r="AH86" s="645"/>
      <c r="AI86" s="645"/>
      <c r="AJ86" s="645"/>
      <c r="AK86" s="645"/>
      <c r="AL86" s="645"/>
      <c r="AM86" s="645"/>
      <c r="AN86" s="646"/>
    </row>
    <row r="87" spans="1:40" ht="13.8" customHeight="1">
      <c r="A87" s="625"/>
      <c r="B87" s="671"/>
      <c r="C87" s="645"/>
      <c r="D87" s="645"/>
      <c r="E87" s="645"/>
      <c r="F87" s="645"/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708"/>
      <c r="AB87" s="644"/>
      <c r="AC87" s="645"/>
      <c r="AD87" s="645"/>
      <c r="AE87" s="645"/>
      <c r="AF87" s="645"/>
      <c r="AG87" s="645"/>
      <c r="AH87" s="645"/>
      <c r="AI87" s="645"/>
      <c r="AJ87" s="645"/>
      <c r="AK87" s="645"/>
      <c r="AL87" s="645"/>
      <c r="AM87" s="645"/>
      <c r="AN87" s="646"/>
    </row>
    <row r="88" spans="1:40" ht="13.8" customHeight="1">
      <c r="A88" s="625"/>
      <c r="B88" s="671"/>
      <c r="C88" s="645"/>
      <c r="D88" s="645"/>
      <c r="E88" s="645"/>
      <c r="F88" s="645"/>
      <c r="G88" s="645"/>
      <c r="H88" s="645"/>
      <c r="I88" s="645"/>
      <c r="J88" s="645"/>
      <c r="K88" s="645"/>
      <c r="L88" s="645"/>
      <c r="M88" s="645"/>
      <c r="N88" s="645"/>
      <c r="O88" s="645"/>
      <c r="P88" s="645"/>
      <c r="Q88" s="645"/>
      <c r="R88" s="645"/>
      <c r="S88" s="645"/>
      <c r="T88" s="645"/>
      <c r="U88" s="645"/>
      <c r="V88" s="645"/>
      <c r="W88" s="645"/>
      <c r="X88" s="645"/>
      <c r="Y88" s="645"/>
      <c r="Z88" s="645"/>
      <c r="AA88" s="708"/>
      <c r="AB88" s="644"/>
      <c r="AC88" s="645"/>
      <c r="AD88" s="645"/>
      <c r="AE88" s="645"/>
      <c r="AF88" s="645"/>
      <c r="AG88" s="645"/>
      <c r="AH88" s="645"/>
      <c r="AI88" s="645"/>
      <c r="AJ88" s="645"/>
      <c r="AK88" s="645"/>
      <c r="AL88" s="645"/>
      <c r="AM88" s="645"/>
      <c r="AN88" s="646"/>
    </row>
    <row r="89" spans="1:40" ht="13.8" customHeight="1">
      <c r="A89" s="625"/>
      <c r="B89" s="671"/>
      <c r="C89" s="645"/>
      <c r="D89" s="645"/>
      <c r="E89" s="645"/>
      <c r="F89" s="645"/>
      <c r="G89" s="645"/>
      <c r="H89" s="645"/>
      <c r="I89" s="645"/>
      <c r="J89" s="645"/>
      <c r="K89" s="645"/>
      <c r="L89" s="645"/>
      <c r="M89" s="645"/>
      <c r="N89" s="645"/>
      <c r="O89" s="645"/>
      <c r="P89" s="645"/>
      <c r="Q89" s="645"/>
      <c r="R89" s="645"/>
      <c r="S89" s="645"/>
      <c r="T89" s="645"/>
      <c r="U89" s="645"/>
      <c r="V89" s="645"/>
      <c r="W89" s="645"/>
      <c r="X89" s="645"/>
      <c r="Y89" s="645"/>
      <c r="Z89" s="645"/>
      <c r="AA89" s="708"/>
      <c r="AB89" s="644"/>
      <c r="AC89" s="645"/>
      <c r="AD89" s="645"/>
      <c r="AE89" s="645"/>
      <c r="AF89" s="645"/>
      <c r="AG89" s="645"/>
      <c r="AH89" s="645"/>
      <c r="AI89" s="645"/>
      <c r="AJ89" s="645"/>
      <c r="AK89" s="645"/>
      <c r="AL89" s="645"/>
      <c r="AM89" s="645"/>
      <c r="AN89" s="646"/>
    </row>
    <row r="90" spans="1:40" ht="13.8" customHeight="1">
      <c r="A90" s="625"/>
      <c r="B90" s="671"/>
      <c r="C90" s="645"/>
      <c r="D90" s="645"/>
      <c r="E90" s="645"/>
      <c r="F90" s="645"/>
      <c r="G90" s="645"/>
      <c r="H90" s="645"/>
      <c r="I90" s="645"/>
      <c r="J90" s="645"/>
      <c r="K90" s="645"/>
      <c r="L90" s="645"/>
      <c r="M90" s="645"/>
      <c r="N90" s="645"/>
      <c r="O90" s="645"/>
      <c r="P90" s="645"/>
      <c r="Q90" s="645"/>
      <c r="R90" s="645"/>
      <c r="S90" s="645"/>
      <c r="T90" s="645"/>
      <c r="U90" s="645"/>
      <c r="V90" s="645"/>
      <c r="W90" s="645"/>
      <c r="X90" s="645"/>
      <c r="Y90" s="645"/>
      <c r="Z90" s="645"/>
      <c r="AA90" s="708"/>
      <c r="AB90" s="644"/>
      <c r="AC90" s="645"/>
      <c r="AD90" s="645"/>
      <c r="AE90" s="645"/>
      <c r="AF90" s="645"/>
      <c r="AG90" s="645"/>
      <c r="AH90" s="645"/>
      <c r="AI90" s="645"/>
      <c r="AJ90" s="645"/>
      <c r="AK90" s="645"/>
      <c r="AL90" s="645"/>
      <c r="AM90" s="645"/>
      <c r="AN90" s="646"/>
    </row>
    <row r="91" spans="1:40" ht="13.8" customHeight="1">
      <c r="A91" s="625"/>
      <c r="B91" s="671"/>
      <c r="C91" s="645"/>
      <c r="D91" s="645"/>
      <c r="E91" s="645"/>
      <c r="F91" s="645"/>
      <c r="G91" s="645"/>
      <c r="H91" s="645"/>
      <c r="I91" s="645"/>
      <c r="J91" s="645"/>
      <c r="K91" s="645"/>
      <c r="L91" s="645"/>
      <c r="M91" s="645"/>
      <c r="N91" s="645"/>
      <c r="O91" s="645"/>
      <c r="P91" s="645"/>
      <c r="Q91" s="645"/>
      <c r="R91" s="645"/>
      <c r="S91" s="645"/>
      <c r="T91" s="645"/>
      <c r="U91" s="645"/>
      <c r="V91" s="645"/>
      <c r="W91" s="645"/>
      <c r="X91" s="645"/>
      <c r="Y91" s="645"/>
      <c r="Z91" s="645"/>
      <c r="AA91" s="708"/>
      <c r="AB91" s="644"/>
      <c r="AC91" s="645"/>
      <c r="AD91" s="645"/>
      <c r="AE91" s="645"/>
      <c r="AF91" s="645"/>
      <c r="AG91" s="645"/>
      <c r="AH91" s="645"/>
      <c r="AI91" s="645"/>
      <c r="AJ91" s="645"/>
      <c r="AK91" s="645"/>
      <c r="AL91" s="645"/>
      <c r="AM91" s="645"/>
      <c r="AN91" s="646"/>
    </row>
    <row r="92" spans="1:40" ht="13.8" customHeight="1">
      <c r="A92" s="625"/>
      <c r="B92" s="671"/>
      <c r="C92" s="645"/>
      <c r="D92" s="645"/>
      <c r="E92" s="645"/>
      <c r="F92" s="645"/>
      <c r="G92" s="645"/>
      <c r="H92" s="645"/>
      <c r="I92" s="645"/>
      <c r="J92" s="645"/>
      <c r="K92" s="645"/>
      <c r="L92" s="645"/>
      <c r="M92" s="645"/>
      <c r="N92" s="645"/>
      <c r="O92" s="645"/>
      <c r="P92" s="645"/>
      <c r="Q92" s="645"/>
      <c r="R92" s="645"/>
      <c r="S92" s="645"/>
      <c r="T92" s="645"/>
      <c r="U92" s="645"/>
      <c r="V92" s="645"/>
      <c r="W92" s="645"/>
      <c r="X92" s="645"/>
      <c r="Y92" s="645"/>
      <c r="Z92" s="645"/>
      <c r="AA92" s="708"/>
      <c r="AB92" s="644"/>
      <c r="AC92" s="645"/>
      <c r="AD92" s="645"/>
      <c r="AE92" s="645"/>
      <c r="AF92" s="645"/>
      <c r="AG92" s="645"/>
      <c r="AH92" s="645"/>
      <c r="AI92" s="645"/>
      <c r="AJ92" s="645"/>
      <c r="AK92" s="645"/>
      <c r="AL92" s="645"/>
      <c r="AM92" s="645"/>
      <c r="AN92" s="646"/>
    </row>
    <row r="93" spans="1:40" ht="13.8" customHeight="1">
      <c r="A93" s="625"/>
      <c r="B93" s="671"/>
      <c r="C93" s="645"/>
      <c r="D93" s="645"/>
      <c r="E93" s="645"/>
      <c r="F93" s="645"/>
      <c r="G93" s="645"/>
      <c r="H93" s="645"/>
      <c r="I93" s="645"/>
      <c r="J93" s="645"/>
      <c r="K93" s="645"/>
      <c r="L93" s="645"/>
      <c r="M93" s="645"/>
      <c r="N93" s="645"/>
      <c r="O93" s="645"/>
      <c r="P93" s="645"/>
      <c r="Q93" s="645"/>
      <c r="R93" s="645"/>
      <c r="S93" s="645"/>
      <c r="T93" s="645"/>
      <c r="U93" s="645"/>
      <c r="V93" s="645"/>
      <c r="W93" s="645"/>
      <c r="X93" s="645"/>
      <c r="Y93" s="645"/>
      <c r="Z93" s="645"/>
      <c r="AA93" s="708"/>
      <c r="AB93" s="644"/>
      <c r="AC93" s="645"/>
      <c r="AD93" s="645"/>
      <c r="AE93" s="645"/>
      <c r="AF93" s="645"/>
      <c r="AG93" s="645"/>
      <c r="AH93" s="645"/>
      <c r="AI93" s="645"/>
      <c r="AJ93" s="645"/>
      <c r="AK93" s="645"/>
      <c r="AL93" s="645"/>
      <c r="AM93" s="645"/>
      <c r="AN93" s="646"/>
    </row>
    <row r="94" spans="1:40" ht="13.8" customHeight="1">
      <c r="A94" s="625"/>
      <c r="B94" s="671"/>
      <c r="C94" s="645"/>
      <c r="D94" s="645"/>
      <c r="E94" s="645"/>
      <c r="F94" s="645"/>
      <c r="G94" s="645"/>
      <c r="H94" s="645"/>
      <c r="I94" s="645"/>
      <c r="J94" s="645"/>
      <c r="K94" s="645"/>
      <c r="L94" s="645"/>
      <c r="M94" s="645"/>
      <c r="N94" s="645"/>
      <c r="O94" s="645"/>
      <c r="P94" s="645"/>
      <c r="Q94" s="645"/>
      <c r="R94" s="645"/>
      <c r="S94" s="645"/>
      <c r="T94" s="645"/>
      <c r="U94" s="645"/>
      <c r="V94" s="645"/>
      <c r="W94" s="645"/>
      <c r="X94" s="645"/>
      <c r="Y94" s="645"/>
      <c r="Z94" s="645"/>
      <c r="AA94" s="708"/>
      <c r="AB94" s="644"/>
      <c r="AC94" s="645"/>
      <c r="AD94" s="645"/>
      <c r="AE94" s="645"/>
      <c r="AF94" s="645"/>
      <c r="AG94" s="645"/>
      <c r="AH94" s="645"/>
      <c r="AI94" s="645"/>
      <c r="AJ94" s="645"/>
      <c r="AK94" s="645"/>
      <c r="AL94" s="645"/>
      <c r="AM94" s="645"/>
      <c r="AN94" s="646"/>
    </row>
    <row r="95" spans="1:40" ht="13.8" customHeight="1">
      <c r="A95" s="625"/>
      <c r="B95" s="671"/>
      <c r="C95" s="645"/>
      <c r="D95" s="645"/>
      <c r="E95" s="645"/>
      <c r="F95" s="645"/>
      <c r="G95" s="645"/>
      <c r="H95" s="645"/>
      <c r="I95" s="645"/>
      <c r="J95" s="645"/>
      <c r="K95" s="645"/>
      <c r="L95" s="645"/>
      <c r="M95" s="645"/>
      <c r="N95" s="645"/>
      <c r="O95" s="645"/>
      <c r="P95" s="645"/>
      <c r="Q95" s="645"/>
      <c r="R95" s="645"/>
      <c r="S95" s="645"/>
      <c r="T95" s="645"/>
      <c r="U95" s="645"/>
      <c r="V95" s="645"/>
      <c r="W95" s="645"/>
      <c r="X95" s="645"/>
      <c r="Y95" s="645"/>
      <c r="Z95" s="645"/>
      <c r="AA95" s="708"/>
      <c r="AB95" s="644"/>
      <c r="AC95" s="645"/>
      <c r="AD95" s="645"/>
      <c r="AE95" s="645"/>
      <c r="AF95" s="645"/>
      <c r="AG95" s="645"/>
      <c r="AH95" s="645"/>
      <c r="AI95" s="645"/>
      <c r="AJ95" s="645"/>
      <c r="AK95" s="645"/>
      <c r="AL95" s="645"/>
      <c r="AM95" s="645"/>
      <c r="AN95" s="646"/>
    </row>
    <row r="96" spans="1:40" ht="13.8" customHeight="1">
      <c r="A96" s="625"/>
      <c r="B96" s="671"/>
      <c r="C96" s="645"/>
      <c r="D96" s="645"/>
      <c r="E96" s="645"/>
      <c r="F96" s="645"/>
      <c r="G96" s="645"/>
      <c r="H96" s="645"/>
      <c r="I96" s="645"/>
      <c r="J96" s="645"/>
      <c r="K96" s="645"/>
      <c r="L96" s="645"/>
      <c r="M96" s="645"/>
      <c r="N96" s="645"/>
      <c r="O96" s="645"/>
      <c r="P96" s="645"/>
      <c r="Q96" s="645"/>
      <c r="R96" s="645"/>
      <c r="S96" s="645"/>
      <c r="T96" s="645"/>
      <c r="U96" s="645"/>
      <c r="V96" s="645"/>
      <c r="W96" s="645"/>
      <c r="X96" s="645"/>
      <c r="Y96" s="645"/>
      <c r="Z96" s="645"/>
      <c r="AA96" s="708"/>
      <c r="AB96" s="644"/>
      <c r="AC96" s="645"/>
      <c r="AD96" s="645"/>
      <c r="AE96" s="645"/>
      <c r="AF96" s="645"/>
      <c r="AG96" s="645"/>
      <c r="AH96" s="645"/>
      <c r="AI96" s="645"/>
      <c r="AJ96" s="645"/>
      <c r="AK96" s="645"/>
      <c r="AL96" s="645"/>
      <c r="AM96" s="645"/>
      <c r="AN96" s="646"/>
    </row>
    <row r="97" spans="1:40" ht="13.8" customHeight="1">
      <c r="A97" s="625"/>
      <c r="B97" s="671"/>
      <c r="C97" s="645"/>
      <c r="D97" s="645"/>
      <c r="E97" s="645"/>
      <c r="F97" s="645"/>
      <c r="G97" s="645"/>
      <c r="H97" s="645"/>
      <c r="I97" s="645"/>
      <c r="J97" s="645"/>
      <c r="K97" s="645"/>
      <c r="L97" s="645"/>
      <c r="M97" s="645"/>
      <c r="N97" s="645"/>
      <c r="O97" s="645"/>
      <c r="P97" s="645"/>
      <c r="Q97" s="645"/>
      <c r="R97" s="645"/>
      <c r="S97" s="645"/>
      <c r="T97" s="645"/>
      <c r="U97" s="645"/>
      <c r="V97" s="645"/>
      <c r="W97" s="645"/>
      <c r="X97" s="645"/>
      <c r="Y97" s="645"/>
      <c r="Z97" s="645"/>
      <c r="AA97" s="708"/>
      <c r="AB97" s="644"/>
      <c r="AC97" s="645"/>
      <c r="AD97" s="645"/>
      <c r="AE97" s="645"/>
      <c r="AF97" s="645"/>
      <c r="AG97" s="645"/>
      <c r="AH97" s="645"/>
      <c r="AI97" s="645"/>
      <c r="AJ97" s="645"/>
      <c r="AK97" s="645"/>
      <c r="AL97" s="645"/>
      <c r="AM97" s="645"/>
      <c r="AN97" s="646"/>
    </row>
    <row r="98" spans="1:40" ht="13.8" customHeight="1">
      <c r="A98" s="625"/>
      <c r="B98" s="671"/>
      <c r="C98" s="709"/>
      <c r="D98" s="709"/>
      <c r="E98" s="709"/>
      <c r="F98" s="709"/>
      <c r="G98" s="709"/>
      <c r="H98" s="709"/>
      <c r="I98" s="709"/>
      <c r="J98" s="709"/>
      <c r="K98" s="709"/>
      <c r="L98" s="709"/>
      <c r="M98" s="709"/>
      <c r="N98" s="709"/>
      <c r="O98" s="709"/>
      <c r="P98" s="709"/>
      <c r="Q98" s="709"/>
      <c r="R98" s="645"/>
      <c r="S98" s="645"/>
      <c r="T98" s="645"/>
      <c r="U98" s="645"/>
      <c r="V98" s="645"/>
      <c r="W98" s="645"/>
      <c r="X98" s="645"/>
      <c r="Y98" s="645"/>
      <c r="Z98" s="645"/>
      <c r="AA98" s="708"/>
      <c r="AB98" s="644"/>
      <c r="AC98" s="645"/>
      <c r="AD98" s="645"/>
      <c r="AE98" s="645"/>
      <c r="AF98" s="645"/>
      <c r="AG98" s="645"/>
      <c r="AH98" s="645"/>
      <c r="AI98" s="645"/>
      <c r="AJ98" s="645"/>
      <c r="AK98" s="645"/>
      <c r="AL98" s="645"/>
      <c r="AM98" s="645"/>
      <c r="AN98" s="646"/>
    </row>
    <row r="99" spans="1:40" ht="13.8" customHeight="1">
      <c r="A99" s="625"/>
      <c r="B99" s="671"/>
      <c r="C99" s="709"/>
      <c r="D99" s="709"/>
      <c r="E99" s="709"/>
      <c r="F99" s="709"/>
      <c r="G99" s="709"/>
      <c r="H99" s="709"/>
      <c r="I99" s="709"/>
      <c r="J99" s="709"/>
      <c r="K99" s="709"/>
      <c r="L99" s="709"/>
      <c r="M99" s="709"/>
      <c r="N99" s="709"/>
      <c r="O99" s="709"/>
      <c r="P99" s="709"/>
      <c r="Q99" s="709"/>
      <c r="R99" s="645"/>
      <c r="S99" s="645"/>
      <c r="T99" s="645"/>
      <c r="U99" s="645"/>
      <c r="V99" s="645"/>
      <c r="W99" s="645"/>
      <c r="X99" s="645"/>
      <c r="Y99" s="645"/>
      <c r="Z99" s="645"/>
      <c r="AA99" s="708"/>
      <c r="AB99" s="644"/>
      <c r="AC99" s="645"/>
      <c r="AD99" s="645"/>
      <c r="AE99" s="645"/>
      <c r="AF99" s="645"/>
      <c r="AG99" s="645"/>
      <c r="AH99" s="645"/>
      <c r="AI99" s="645"/>
      <c r="AJ99" s="645"/>
      <c r="AK99" s="645"/>
      <c r="AL99" s="645"/>
      <c r="AM99" s="645"/>
      <c r="AN99" s="646"/>
    </row>
    <row r="100" spans="1:40" ht="13.8" customHeight="1">
      <c r="A100" s="625"/>
      <c r="B100" s="671"/>
      <c r="C100" s="709"/>
      <c r="D100" s="709"/>
      <c r="E100" s="709"/>
      <c r="F100" s="709"/>
      <c r="G100" s="709"/>
      <c r="H100" s="709"/>
      <c r="I100" s="709"/>
      <c r="J100" s="709"/>
      <c r="K100" s="709"/>
      <c r="L100" s="709"/>
      <c r="M100" s="709"/>
      <c r="N100" s="709"/>
      <c r="O100" s="709"/>
      <c r="P100" s="709"/>
      <c r="Q100" s="709"/>
      <c r="R100" s="645"/>
      <c r="S100" s="645"/>
      <c r="T100" s="645"/>
      <c r="U100" s="645"/>
      <c r="V100" s="645"/>
      <c r="W100" s="645"/>
      <c r="X100" s="645"/>
      <c r="Y100" s="645"/>
      <c r="Z100" s="645"/>
      <c r="AA100" s="708"/>
      <c r="AB100" s="644"/>
      <c r="AC100" s="645"/>
      <c r="AD100" s="645"/>
      <c r="AE100" s="645"/>
      <c r="AF100" s="645"/>
      <c r="AG100" s="645"/>
      <c r="AH100" s="645"/>
      <c r="AI100" s="645"/>
      <c r="AJ100" s="645"/>
      <c r="AK100" s="645"/>
      <c r="AL100" s="645"/>
      <c r="AM100" s="645"/>
      <c r="AN100" s="646"/>
    </row>
    <row r="101" spans="1:40" ht="13.8" customHeight="1">
      <c r="A101" s="625"/>
      <c r="B101" s="671"/>
      <c r="C101" s="645"/>
      <c r="D101" s="645"/>
      <c r="E101" s="645"/>
      <c r="F101" s="645"/>
      <c r="G101" s="645"/>
      <c r="H101" s="645"/>
      <c r="I101" s="645"/>
      <c r="J101" s="645"/>
      <c r="K101" s="645"/>
      <c r="L101" s="645"/>
      <c r="M101" s="645"/>
      <c r="N101" s="645"/>
      <c r="O101" s="645"/>
      <c r="P101" s="645"/>
      <c r="Q101" s="645"/>
      <c r="R101" s="645"/>
      <c r="S101" s="645"/>
      <c r="T101" s="645"/>
      <c r="U101" s="645"/>
      <c r="V101" s="645"/>
      <c r="W101" s="645"/>
      <c r="X101" s="645"/>
      <c r="Y101" s="645"/>
      <c r="Z101" s="645"/>
      <c r="AA101" s="708"/>
      <c r="AB101" s="644"/>
      <c r="AC101" s="645"/>
      <c r="AD101" s="645"/>
      <c r="AE101" s="645"/>
      <c r="AF101" s="645"/>
      <c r="AG101" s="645"/>
      <c r="AH101" s="645"/>
      <c r="AI101" s="645"/>
      <c r="AJ101" s="645"/>
      <c r="AK101" s="645"/>
      <c r="AL101" s="645"/>
      <c r="AM101" s="645"/>
      <c r="AN101" s="646"/>
    </row>
    <row r="102" spans="1:40" ht="13.8" customHeight="1">
      <c r="A102" s="625"/>
      <c r="B102" s="671"/>
      <c r="C102" s="645"/>
      <c r="D102" s="645"/>
      <c r="E102" s="645"/>
      <c r="F102" s="645"/>
      <c r="G102" s="645"/>
      <c r="H102" s="645"/>
      <c r="I102" s="645"/>
      <c r="J102" s="645"/>
      <c r="K102" s="645"/>
      <c r="L102" s="645"/>
      <c r="M102" s="645"/>
      <c r="N102" s="645"/>
      <c r="O102" s="645"/>
      <c r="P102" s="645"/>
      <c r="Q102" s="645"/>
      <c r="R102" s="645"/>
      <c r="S102" s="645"/>
      <c r="T102" s="645"/>
      <c r="U102" s="645"/>
      <c r="V102" s="645"/>
      <c r="W102" s="645"/>
      <c r="X102" s="645"/>
      <c r="Y102" s="645"/>
      <c r="Z102" s="645"/>
      <c r="AA102" s="708"/>
      <c r="AB102" s="644"/>
      <c r="AC102" s="645"/>
      <c r="AD102" s="645"/>
      <c r="AE102" s="645"/>
      <c r="AF102" s="645"/>
      <c r="AG102" s="645"/>
      <c r="AH102" s="645"/>
      <c r="AI102" s="645"/>
      <c r="AJ102" s="645"/>
      <c r="AK102" s="645"/>
      <c r="AL102" s="645"/>
      <c r="AM102" s="645"/>
      <c r="AN102" s="646"/>
    </row>
    <row r="103" spans="1:40" ht="13.8" customHeight="1">
      <c r="A103" s="625"/>
      <c r="B103" s="671"/>
      <c r="C103" s="645"/>
      <c r="D103" s="645"/>
      <c r="E103" s="645"/>
      <c r="F103" s="645"/>
      <c r="G103" s="645"/>
      <c r="H103" s="645"/>
      <c r="I103" s="645"/>
      <c r="J103" s="645"/>
      <c r="K103" s="645"/>
      <c r="L103" s="645"/>
      <c r="M103" s="645"/>
      <c r="N103" s="645"/>
      <c r="O103" s="645"/>
      <c r="P103" s="645"/>
      <c r="Q103" s="645"/>
      <c r="R103" s="645"/>
      <c r="S103" s="645"/>
      <c r="T103" s="645"/>
      <c r="U103" s="645"/>
      <c r="V103" s="645"/>
      <c r="W103" s="645"/>
      <c r="X103" s="645"/>
      <c r="Y103" s="645"/>
      <c r="Z103" s="645"/>
      <c r="AA103" s="708"/>
      <c r="AB103" s="644"/>
      <c r="AC103" s="645"/>
      <c r="AD103" s="645"/>
      <c r="AE103" s="645"/>
      <c r="AF103" s="645"/>
      <c r="AG103" s="645"/>
      <c r="AH103" s="645"/>
      <c r="AI103" s="645"/>
      <c r="AJ103" s="645"/>
      <c r="AK103" s="645"/>
      <c r="AL103" s="645"/>
      <c r="AM103" s="645"/>
      <c r="AN103" s="646"/>
    </row>
    <row r="104" spans="1:40" ht="13.8" customHeight="1">
      <c r="A104" s="625"/>
      <c r="B104" s="671"/>
      <c r="C104" s="645"/>
      <c r="D104" s="645"/>
      <c r="E104" s="645"/>
      <c r="F104" s="645"/>
      <c r="G104" s="645"/>
      <c r="H104" s="645"/>
      <c r="I104" s="645"/>
      <c r="J104" s="645"/>
      <c r="K104" s="645"/>
      <c r="L104" s="645"/>
      <c r="M104" s="645"/>
      <c r="N104" s="645"/>
      <c r="O104" s="645"/>
      <c r="P104" s="645"/>
      <c r="Q104" s="645"/>
      <c r="R104" s="645"/>
      <c r="S104" s="645"/>
      <c r="T104" s="645"/>
      <c r="U104" s="645"/>
      <c r="V104" s="645"/>
      <c r="W104" s="645"/>
      <c r="X104" s="645"/>
      <c r="Y104" s="645"/>
      <c r="Z104" s="645"/>
      <c r="AA104" s="671"/>
      <c r="AB104" s="644"/>
      <c r="AC104" s="645"/>
      <c r="AD104" s="645"/>
      <c r="AE104" s="645"/>
      <c r="AF104" s="645"/>
      <c r="AG104" s="645"/>
      <c r="AH104" s="645"/>
      <c r="AI104" s="645"/>
      <c r="AJ104" s="645"/>
      <c r="AK104" s="645"/>
      <c r="AL104" s="645"/>
      <c r="AM104" s="645"/>
      <c r="AN104" s="646"/>
    </row>
    <row r="105" spans="1:40" ht="13.8" customHeight="1">
      <c r="A105" s="625"/>
      <c r="B105" s="671"/>
      <c r="C105" s="645"/>
      <c r="D105" s="645"/>
      <c r="E105" s="645"/>
      <c r="F105" s="645"/>
      <c r="G105" s="645"/>
      <c r="H105" s="645"/>
      <c r="I105" s="645"/>
      <c r="J105" s="645"/>
      <c r="K105" s="645"/>
      <c r="L105" s="645"/>
      <c r="M105" s="645"/>
      <c r="N105" s="645"/>
      <c r="O105" s="645"/>
      <c r="P105" s="645"/>
      <c r="Q105" s="645"/>
      <c r="R105" s="645"/>
      <c r="S105" s="645"/>
      <c r="T105" s="645"/>
      <c r="U105" s="645"/>
      <c r="V105" s="645"/>
      <c r="W105" s="645"/>
      <c r="X105" s="645"/>
      <c r="Y105" s="645"/>
      <c r="Z105" s="645"/>
      <c r="AA105" s="671"/>
      <c r="AB105" s="644"/>
      <c r="AC105" s="645"/>
      <c r="AD105" s="645"/>
      <c r="AE105" s="645"/>
      <c r="AF105" s="645"/>
      <c r="AG105" s="645"/>
      <c r="AH105" s="645"/>
      <c r="AI105" s="645"/>
      <c r="AJ105" s="645"/>
      <c r="AK105" s="645"/>
      <c r="AL105" s="645"/>
      <c r="AM105" s="645"/>
      <c r="AN105" s="646"/>
    </row>
    <row r="106" spans="1:40" ht="13.8" customHeight="1">
      <c r="A106" s="625"/>
      <c r="B106" s="672"/>
      <c r="C106" s="645"/>
      <c r="D106" s="645"/>
      <c r="E106" s="645"/>
      <c r="F106" s="645"/>
      <c r="G106" s="645"/>
      <c r="H106" s="645"/>
      <c r="I106" s="645"/>
      <c r="J106" s="645"/>
      <c r="K106" s="645"/>
      <c r="L106" s="645"/>
      <c r="M106" s="645"/>
      <c r="N106" s="645"/>
      <c r="O106" s="645"/>
      <c r="P106" s="645"/>
      <c r="Q106" s="645"/>
      <c r="R106" s="645"/>
      <c r="S106" s="645"/>
      <c r="T106" s="645"/>
      <c r="U106" s="645"/>
      <c r="V106" s="645"/>
      <c r="W106" s="645"/>
      <c r="X106" s="645"/>
      <c r="Y106" s="645"/>
      <c r="Z106" s="645"/>
      <c r="AA106" s="672"/>
      <c r="AB106" s="644"/>
      <c r="AC106" s="673"/>
      <c r="AD106" s="673"/>
      <c r="AE106" s="673"/>
      <c r="AF106" s="673"/>
      <c r="AG106" s="673"/>
      <c r="AH106" s="673"/>
      <c r="AI106" s="673"/>
      <c r="AJ106" s="673"/>
      <c r="AK106" s="673"/>
      <c r="AL106" s="673"/>
      <c r="AM106" s="673"/>
      <c r="AN106" s="674"/>
    </row>
    <row r="107" spans="1:40" ht="13.8" customHeight="1">
      <c r="A107" s="625"/>
      <c r="B107" s="710"/>
      <c r="C107" s="711" t="s">
        <v>159</v>
      </c>
      <c r="D107" s="711" t="s">
        <v>160</v>
      </c>
      <c r="E107" s="711" t="s">
        <v>161</v>
      </c>
      <c r="F107" s="711" t="s">
        <v>162</v>
      </c>
      <c r="G107" s="711" t="s">
        <v>163</v>
      </c>
      <c r="H107" s="711" t="s">
        <v>164</v>
      </c>
      <c r="I107" s="711" t="s">
        <v>165</v>
      </c>
      <c r="J107" s="711" t="s">
        <v>166</v>
      </c>
      <c r="K107" s="711" t="s">
        <v>167</v>
      </c>
      <c r="L107" s="711" t="s">
        <v>168</v>
      </c>
      <c r="M107" s="711" t="s">
        <v>169</v>
      </c>
      <c r="N107" s="711" t="s">
        <v>170</v>
      </c>
      <c r="O107" s="711" t="s">
        <v>171</v>
      </c>
      <c r="P107" s="711" t="s">
        <v>172</v>
      </c>
      <c r="Q107" s="711" t="s">
        <v>173</v>
      </c>
      <c r="R107" s="710"/>
      <c r="S107" s="710"/>
      <c r="T107" s="712"/>
      <c r="U107" s="890"/>
      <c r="V107" s="713" t="s">
        <v>159</v>
      </c>
      <c r="W107" s="713" t="s">
        <v>160</v>
      </c>
      <c r="X107" s="713" t="s">
        <v>161</v>
      </c>
      <c r="Y107" s="713" t="s">
        <v>162</v>
      </c>
      <c r="Z107" s="713" t="s">
        <v>163</v>
      </c>
      <c r="AA107" s="713" t="s">
        <v>164</v>
      </c>
      <c r="AB107" s="713" t="s">
        <v>165</v>
      </c>
      <c r="AC107" s="713" t="s">
        <v>166</v>
      </c>
      <c r="AD107" s="713" t="s">
        <v>167</v>
      </c>
      <c r="AE107" s="713" t="s">
        <v>168</v>
      </c>
      <c r="AF107" s="713" t="s">
        <v>169</v>
      </c>
      <c r="AG107" s="713" t="s">
        <v>170</v>
      </c>
      <c r="AH107" s="713" t="s">
        <v>171</v>
      </c>
      <c r="AI107" s="713" t="s">
        <v>172</v>
      </c>
      <c r="AJ107" s="713" t="s">
        <v>173</v>
      </c>
      <c r="AK107" s="714"/>
      <c r="AN107" s="634"/>
    </row>
    <row r="108" spans="1:40" ht="13.8" customHeight="1">
      <c r="A108" s="625"/>
      <c r="B108" s="715"/>
      <c r="C108" s="761" t="s">
        <v>22</v>
      </c>
      <c r="D108" s="761" t="s">
        <v>21</v>
      </c>
      <c r="E108" s="761"/>
      <c r="F108" s="761"/>
      <c r="G108" s="761" t="s">
        <v>42</v>
      </c>
      <c r="H108" s="761"/>
      <c r="I108" s="761"/>
      <c r="J108" s="761"/>
      <c r="K108" s="761" t="s">
        <v>43</v>
      </c>
      <c r="L108" s="761"/>
      <c r="M108" s="761"/>
      <c r="N108" s="761" t="s">
        <v>140</v>
      </c>
      <c r="O108" s="761"/>
      <c r="P108" s="761"/>
      <c r="Q108" s="761"/>
      <c r="R108" s="715"/>
      <c r="S108" s="715"/>
      <c r="T108" s="716"/>
      <c r="U108" s="690"/>
      <c r="V108" s="778" t="s">
        <v>22</v>
      </c>
      <c r="W108" s="778" t="s">
        <v>21</v>
      </c>
      <c r="X108" s="778" t="s">
        <v>42</v>
      </c>
      <c r="Y108" s="778" t="s">
        <v>43</v>
      </c>
      <c r="Z108" s="778" t="s">
        <v>140</v>
      </c>
      <c r="AA108" s="778"/>
      <c r="AB108" s="778"/>
      <c r="AC108" s="778"/>
      <c r="AD108" s="778"/>
      <c r="AE108" s="778"/>
      <c r="AF108" s="778"/>
      <c r="AG108" s="778"/>
      <c r="AH108" s="778"/>
      <c r="AI108" s="778"/>
      <c r="AJ108" s="778"/>
      <c r="AN108" s="646"/>
    </row>
    <row r="109" spans="1:40" ht="13.8" customHeight="1">
      <c r="A109" s="625"/>
      <c r="B109" s="715"/>
      <c r="C109" s="650">
        <f t="shared" ref="C109:Q109" si="18">IFERROR(HLOOKUP(C108,$B$17:$AA$18,2,FALSE),"")</f>
        <v>207</v>
      </c>
      <c r="D109" s="650">
        <f t="shared" si="18"/>
        <v>177</v>
      </c>
      <c r="E109" s="650" t="str">
        <f t="shared" si="18"/>
        <v/>
      </c>
      <c r="F109" s="650" t="str">
        <f t="shared" si="18"/>
        <v/>
      </c>
      <c r="G109" s="650">
        <f t="shared" si="18"/>
        <v>340</v>
      </c>
      <c r="H109" s="650" t="str">
        <f t="shared" si="18"/>
        <v/>
      </c>
      <c r="I109" s="650" t="str">
        <f t="shared" si="18"/>
        <v/>
      </c>
      <c r="J109" s="650" t="str">
        <f t="shared" si="18"/>
        <v/>
      </c>
      <c r="K109" s="650">
        <f t="shared" si="18"/>
        <v>322</v>
      </c>
      <c r="L109" s="650" t="str">
        <f t="shared" si="18"/>
        <v/>
      </c>
      <c r="M109" s="650" t="str">
        <f t="shared" si="18"/>
        <v/>
      </c>
      <c r="N109" s="650">
        <f t="shared" si="18"/>
        <v>250</v>
      </c>
      <c r="O109" s="650" t="str">
        <f t="shared" si="18"/>
        <v/>
      </c>
      <c r="P109" s="650" t="str">
        <f t="shared" si="18"/>
        <v/>
      </c>
      <c r="Q109" s="650" t="str">
        <f t="shared" si="18"/>
        <v/>
      </c>
      <c r="R109" s="715"/>
      <c r="S109" s="715"/>
      <c r="T109" s="718">
        <f>(SUMPRODUCT(C109:Q109,C110:Q110)*0.001)+(T110*$X$22*0.001)</f>
        <v>274.21790714214183</v>
      </c>
      <c r="U109" s="690"/>
      <c r="V109" s="717"/>
      <c r="W109" s="717"/>
      <c r="X109" s="717"/>
      <c r="Y109" s="717"/>
      <c r="Z109" s="717"/>
      <c r="AA109" s="717"/>
      <c r="AB109" s="717"/>
      <c r="AC109" s="717"/>
      <c r="AD109" s="717"/>
      <c r="AE109" s="717"/>
      <c r="AF109" s="717"/>
      <c r="AG109" s="717"/>
      <c r="AH109" s="717"/>
      <c r="AI109" s="717"/>
      <c r="AJ109" s="717"/>
      <c r="AK109" s="714"/>
      <c r="AN109" s="646"/>
    </row>
    <row r="110" spans="1:40" ht="13.8" customHeight="1">
      <c r="A110" s="625"/>
      <c r="B110" s="715"/>
      <c r="C110" s="913">
        <v>526.01810248868776</v>
      </c>
      <c r="D110" s="913">
        <v>0</v>
      </c>
      <c r="E110" s="913">
        <v>0</v>
      </c>
      <c r="F110" s="913">
        <v>0</v>
      </c>
      <c r="G110" s="913">
        <v>192.30769230769229</v>
      </c>
      <c r="H110" s="913">
        <v>0</v>
      </c>
      <c r="I110" s="913">
        <v>0</v>
      </c>
      <c r="J110" s="913">
        <v>0</v>
      </c>
      <c r="K110" s="913">
        <v>166.66666666666671</v>
      </c>
      <c r="L110" s="913">
        <v>0</v>
      </c>
      <c r="M110" s="913">
        <v>0</v>
      </c>
      <c r="N110" s="913">
        <v>120</v>
      </c>
      <c r="O110" s="913">
        <v>0</v>
      </c>
      <c r="P110" s="913">
        <v>0</v>
      </c>
      <c r="Q110" s="913">
        <v>0</v>
      </c>
      <c r="R110" s="715"/>
      <c r="S110" s="715"/>
      <c r="T110" s="895">
        <f>SUM(C110:Q110)</f>
        <v>1004.9924614630468</v>
      </c>
      <c r="U110" s="690"/>
      <c r="V110" s="894">
        <f>IFERROR(HLOOKUP(V108,$C$108:$Q$110,3,FALSE),"")</f>
        <v>526.01810248868776</v>
      </c>
      <c r="W110" s="894">
        <f t="shared" ref="W110:AJ110" si="19">IFERROR(HLOOKUP(W108,$C$108:$Q$110,3,FALSE),"")</f>
        <v>0</v>
      </c>
      <c r="X110" s="894">
        <f t="shared" si="19"/>
        <v>192.30769230769229</v>
      </c>
      <c r="Y110" s="894">
        <f t="shared" si="19"/>
        <v>166.66666666666671</v>
      </c>
      <c r="Z110" s="894">
        <f t="shared" si="19"/>
        <v>120</v>
      </c>
      <c r="AA110" s="894" t="str">
        <f t="shared" si="19"/>
        <v/>
      </c>
      <c r="AB110" s="894" t="str">
        <f t="shared" si="19"/>
        <v/>
      </c>
      <c r="AC110" s="894" t="str">
        <f t="shared" si="19"/>
        <v/>
      </c>
      <c r="AD110" s="894" t="str">
        <f t="shared" si="19"/>
        <v/>
      </c>
      <c r="AE110" s="894" t="str">
        <f t="shared" si="19"/>
        <v/>
      </c>
      <c r="AF110" s="894" t="str">
        <f t="shared" si="19"/>
        <v/>
      </c>
      <c r="AG110" s="894" t="str">
        <f t="shared" si="19"/>
        <v/>
      </c>
      <c r="AH110" s="894" t="str">
        <f t="shared" si="19"/>
        <v/>
      </c>
      <c r="AI110" s="894" t="str">
        <f t="shared" si="19"/>
        <v/>
      </c>
      <c r="AJ110" s="894" t="str">
        <f t="shared" si="19"/>
        <v/>
      </c>
      <c r="AK110" s="714"/>
      <c r="AN110" s="646"/>
    </row>
    <row r="111" spans="1:40" ht="13.8" customHeight="1">
      <c r="A111" s="625"/>
      <c r="B111" s="715"/>
      <c r="C111" s="720">
        <f t="shared" ref="C111:Q117" si="20">IFERROR(IF(HLOOKUP(C$108,$B$149:$AN$165,$A150,FALSE)=0,"",IF(HLOOKUP(C$108,$B$149:$AN$165,$A150,FALSE)&gt;0,HLOOKUP(C$108,$B$149:$AN$165,$A150,FALSE))),"")</f>
        <v>1</v>
      </c>
      <c r="D111" s="720">
        <f t="shared" si="20"/>
        <v>1</v>
      </c>
      <c r="E111" s="720" t="str">
        <f t="shared" ref="E111:Q111" si="21">IFERROR(IF(HLOOKUP(E$108,$B$149:$AN$165,2,FALSE)=0,"",IF(HLOOKUP(E$108,$B$149:$AN$165,2,FALSE)&gt;0,HLOOKUP(E$108,$B$149:$AN$165,2,FALSE))),"")</f>
        <v/>
      </c>
      <c r="F111" s="720" t="str">
        <f t="shared" si="21"/>
        <v/>
      </c>
      <c r="G111" s="720">
        <f t="shared" si="21"/>
        <v>1</v>
      </c>
      <c r="H111" s="720" t="str">
        <f t="shared" si="21"/>
        <v/>
      </c>
      <c r="I111" s="720" t="str">
        <f t="shared" si="21"/>
        <v/>
      </c>
      <c r="J111" s="720" t="str">
        <f t="shared" si="21"/>
        <v/>
      </c>
      <c r="K111" s="720">
        <f t="shared" si="21"/>
        <v>1</v>
      </c>
      <c r="L111" s="720" t="str">
        <f t="shared" si="21"/>
        <v/>
      </c>
      <c r="M111" s="720" t="str">
        <f t="shared" si="21"/>
        <v/>
      </c>
      <c r="N111" s="720">
        <f t="shared" si="21"/>
        <v>1</v>
      </c>
      <c r="O111" s="720" t="str">
        <f t="shared" si="21"/>
        <v/>
      </c>
      <c r="P111" s="720" t="str">
        <f t="shared" si="21"/>
        <v/>
      </c>
      <c r="Q111" s="720" t="str">
        <f t="shared" si="21"/>
        <v/>
      </c>
      <c r="R111" s="721">
        <f>SUMPRODUCT($C$110:$Q$110,C111:Q111)</f>
        <v>1004.9924614630468</v>
      </c>
      <c r="S111" s="722" t="s">
        <v>40</v>
      </c>
      <c r="T111" s="723">
        <v>0</v>
      </c>
      <c r="U111" s="724"/>
      <c r="V111" s="719"/>
      <c r="W111" s="719"/>
      <c r="X111" s="719"/>
      <c r="Y111" s="719"/>
      <c r="Z111" s="719"/>
      <c r="AA111" s="719"/>
      <c r="AB111" s="719"/>
      <c r="AC111" s="719"/>
      <c r="AD111" s="725"/>
      <c r="AE111" s="719"/>
      <c r="AF111" s="719"/>
      <c r="AG111" s="719"/>
      <c r="AH111" s="719"/>
      <c r="AI111" s="719"/>
      <c r="AJ111" s="719"/>
      <c r="AK111" s="714"/>
      <c r="AN111" s="646"/>
    </row>
    <row r="112" spans="1:40" ht="13.8" customHeight="1">
      <c r="A112" s="625"/>
      <c r="B112" s="715" t="s">
        <v>80</v>
      </c>
      <c r="C112" s="914">
        <f t="shared" si="20"/>
        <v>0.34</v>
      </c>
      <c r="D112" s="914">
        <f t="shared" si="20"/>
        <v>0.21</v>
      </c>
      <c r="E112" s="914" t="str">
        <f t="shared" si="20"/>
        <v/>
      </c>
      <c r="F112" s="914" t="str">
        <f t="shared" si="20"/>
        <v/>
      </c>
      <c r="G112" s="914">
        <f t="shared" si="20"/>
        <v>0.11</v>
      </c>
      <c r="H112" s="914" t="str">
        <f t="shared" si="20"/>
        <v/>
      </c>
      <c r="I112" s="914" t="str">
        <f t="shared" si="20"/>
        <v/>
      </c>
      <c r="J112" s="914" t="str">
        <f t="shared" si="20"/>
        <v/>
      </c>
      <c r="K112" s="914" t="str">
        <f t="shared" si="20"/>
        <v/>
      </c>
      <c r="L112" s="914" t="str">
        <f t="shared" si="20"/>
        <v/>
      </c>
      <c r="M112" s="914" t="str">
        <f t="shared" si="20"/>
        <v/>
      </c>
      <c r="N112" s="914" t="str">
        <f t="shared" si="20"/>
        <v/>
      </c>
      <c r="O112" s="914" t="str">
        <f t="shared" si="20"/>
        <v/>
      </c>
      <c r="P112" s="914" t="str">
        <f t="shared" si="20"/>
        <v/>
      </c>
      <c r="Q112" s="914" t="str">
        <f t="shared" si="20"/>
        <v/>
      </c>
      <c r="R112" s="721">
        <f t="shared" ref="R112:R121" si="22">SUMPRODUCT($C$110:$Q$110,C112:Q112)</f>
        <v>200.000001</v>
      </c>
      <c r="S112" s="717" t="s">
        <v>39</v>
      </c>
      <c r="T112" s="716">
        <f>$C$22</f>
        <v>200</v>
      </c>
      <c r="U112" s="690"/>
      <c r="V112" s="717"/>
      <c r="W112" s="727"/>
      <c r="X112" s="717"/>
      <c r="Y112" s="717"/>
      <c r="Z112" s="717"/>
      <c r="AA112" s="717"/>
      <c r="AB112" s="717"/>
      <c r="AC112" s="717"/>
      <c r="AD112" s="728"/>
      <c r="AE112" s="717"/>
      <c r="AF112" s="717"/>
      <c r="AG112" s="717"/>
      <c r="AH112" s="717"/>
      <c r="AI112" s="717"/>
      <c r="AJ112" s="717"/>
      <c r="AK112" s="714"/>
      <c r="AN112" s="646"/>
    </row>
    <row r="113" spans="1:40" ht="13.8" customHeight="1">
      <c r="A113" s="625"/>
      <c r="B113" s="715" t="s">
        <v>81</v>
      </c>
      <c r="C113" s="914" t="str">
        <f t="shared" si="20"/>
        <v/>
      </c>
      <c r="D113" s="914" t="str">
        <f t="shared" si="20"/>
        <v/>
      </c>
      <c r="E113" s="914" t="str">
        <f t="shared" si="20"/>
        <v/>
      </c>
      <c r="F113" s="914" t="str">
        <f t="shared" si="20"/>
        <v/>
      </c>
      <c r="G113" s="914">
        <f t="shared" si="20"/>
        <v>0.52</v>
      </c>
      <c r="H113" s="914" t="str">
        <f t="shared" si="20"/>
        <v/>
      </c>
      <c r="I113" s="914" t="str">
        <f t="shared" si="20"/>
        <v/>
      </c>
      <c r="J113" s="914" t="str">
        <f t="shared" si="20"/>
        <v/>
      </c>
      <c r="K113" s="914" t="str">
        <f t="shared" si="20"/>
        <v/>
      </c>
      <c r="L113" s="914" t="str">
        <f t="shared" si="20"/>
        <v/>
      </c>
      <c r="M113" s="914" t="str">
        <f t="shared" si="20"/>
        <v/>
      </c>
      <c r="N113" s="914" t="str">
        <f t="shared" si="20"/>
        <v/>
      </c>
      <c r="O113" s="914" t="str">
        <f t="shared" si="20"/>
        <v/>
      </c>
      <c r="P113" s="914" t="str">
        <f t="shared" si="20"/>
        <v/>
      </c>
      <c r="Q113" s="914" t="str">
        <f t="shared" si="20"/>
        <v/>
      </c>
      <c r="R113" s="721">
        <f t="shared" si="22"/>
        <v>100</v>
      </c>
      <c r="S113" s="717" t="s">
        <v>39</v>
      </c>
      <c r="T113" s="716">
        <f>$D$22</f>
        <v>100</v>
      </c>
      <c r="U113" s="690"/>
      <c r="V113" s="695" t="s">
        <v>154</v>
      </c>
      <c r="W113" s="695" t="s">
        <v>155</v>
      </c>
      <c r="X113" s="695" t="s">
        <v>156</v>
      </c>
      <c r="Y113" s="695" t="s">
        <v>83</v>
      </c>
      <c r="Z113" s="695" t="s">
        <v>11</v>
      </c>
      <c r="AA113" s="695" t="s">
        <v>12</v>
      </c>
      <c r="AB113" s="695" t="s">
        <v>14</v>
      </c>
      <c r="AC113" s="695" t="s">
        <v>38</v>
      </c>
      <c r="AD113" s="695" t="s">
        <v>145</v>
      </c>
      <c r="AE113" s="695" t="s">
        <v>13</v>
      </c>
      <c r="AF113" s="695"/>
      <c r="AG113" s="695"/>
      <c r="AH113" s="695"/>
      <c r="AI113" s="695"/>
      <c r="AJ113" s="695"/>
      <c r="AK113" s="714"/>
      <c r="AN113" s="646"/>
    </row>
    <row r="114" spans="1:40" ht="13.8" customHeight="1">
      <c r="A114" s="625"/>
      <c r="B114" s="715" t="s">
        <v>82</v>
      </c>
      <c r="C114" s="914" t="str">
        <f t="shared" si="20"/>
        <v/>
      </c>
      <c r="D114" s="914" t="str">
        <f t="shared" si="20"/>
        <v/>
      </c>
      <c r="E114" s="914" t="str">
        <f t="shared" si="20"/>
        <v/>
      </c>
      <c r="F114" s="914" t="str">
        <f t="shared" si="20"/>
        <v/>
      </c>
      <c r="G114" s="914" t="str">
        <f t="shared" si="20"/>
        <v/>
      </c>
      <c r="H114" s="914" t="str">
        <f t="shared" si="20"/>
        <v/>
      </c>
      <c r="I114" s="914" t="str">
        <f t="shared" si="20"/>
        <v/>
      </c>
      <c r="J114" s="914" t="str">
        <f t="shared" si="20"/>
        <v/>
      </c>
      <c r="K114" s="914">
        <f t="shared" si="20"/>
        <v>0.6</v>
      </c>
      <c r="L114" s="914" t="str">
        <f t="shared" si="20"/>
        <v/>
      </c>
      <c r="M114" s="914" t="str">
        <f t="shared" si="20"/>
        <v/>
      </c>
      <c r="N114" s="914" t="str">
        <f t="shared" si="20"/>
        <v/>
      </c>
      <c r="O114" s="914" t="str">
        <f t="shared" si="20"/>
        <v/>
      </c>
      <c r="P114" s="914" t="str">
        <f t="shared" si="20"/>
        <v/>
      </c>
      <c r="Q114" s="914" t="str">
        <f t="shared" si="20"/>
        <v/>
      </c>
      <c r="R114" s="721">
        <f t="shared" si="22"/>
        <v>100.00000000000003</v>
      </c>
      <c r="S114" s="717" t="s">
        <v>39</v>
      </c>
      <c r="T114" s="716">
        <f>$E$22</f>
        <v>100</v>
      </c>
      <c r="U114" s="690"/>
      <c r="V114" s="729">
        <f>R112</f>
        <v>200.000001</v>
      </c>
      <c r="W114" s="729">
        <f>R113</f>
        <v>100</v>
      </c>
      <c r="X114" s="729">
        <f>R114</f>
        <v>100.00000000000003</v>
      </c>
      <c r="Y114" s="730">
        <f>R115</f>
        <v>24</v>
      </c>
      <c r="Z114" s="730">
        <f>R116</f>
        <v>30</v>
      </c>
      <c r="AA114" s="730">
        <f>R117</f>
        <v>0</v>
      </c>
      <c r="AB114" s="730">
        <f>R118</f>
        <v>0</v>
      </c>
      <c r="AC114" s="730">
        <f>R119</f>
        <v>0</v>
      </c>
      <c r="AD114" s="731">
        <f>R120</f>
        <v>0</v>
      </c>
      <c r="AE114" s="730">
        <f>R121</f>
        <v>80.000000000000014</v>
      </c>
      <c r="AF114" s="732"/>
      <c r="AG114" s="732"/>
      <c r="AH114" s="732"/>
      <c r="AI114" s="732"/>
      <c r="AJ114" s="732"/>
      <c r="AK114" s="714"/>
      <c r="AN114" s="646"/>
    </row>
    <row r="115" spans="1:40" ht="13.8" customHeight="1">
      <c r="A115" s="625"/>
      <c r="B115" s="715" t="s">
        <v>83</v>
      </c>
      <c r="C115" s="914" t="str">
        <f t="shared" si="20"/>
        <v/>
      </c>
      <c r="D115" s="914">
        <f t="shared" si="20"/>
        <v>0.24</v>
      </c>
      <c r="E115" s="914" t="str">
        <f t="shared" si="20"/>
        <v/>
      </c>
      <c r="F115" s="914" t="str">
        <f t="shared" si="20"/>
        <v/>
      </c>
      <c r="G115" s="914" t="str">
        <f t="shared" si="20"/>
        <v/>
      </c>
      <c r="H115" s="914" t="str">
        <f t="shared" si="20"/>
        <v/>
      </c>
      <c r="I115" s="914" t="str">
        <f t="shared" si="20"/>
        <v/>
      </c>
      <c r="J115" s="914" t="str">
        <f t="shared" si="20"/>
        <v/>
      </c>
      <c r="K115" s="914" t="str">
        <f t="shared" si="20"/>
        <v/>
      </c>
      <c r="L115" s="914" t="str">
        <f t="shared" si="20"/>
        <v/>
      </c>
      <c r="M115" s="914" t="str">
        <f t="shared" si="20"/>
        <v/>
      </c>
      <c r="N115" s="914">
        <f t="shared" si="20"/>
        <v>0.2</v>
      </c>
      <c r="O115" s="914" t="str">
        <f t="shared" si="20"/>
        <v/>
      </c>
      <c r="P115" s="914" t="str">
        <f t="shared" si="20"/>
        <v/>
      </c>
      <c r="Q115" s="914" t="str">
        <f t="shared" si="20"/>
        <v/>
      </c>
      <c r="R115" s="733">
        <f t="shared" si="22"/>
        <v>24</v>
      </c>
      <c r="S115" s="717" t="s">
        <v>40</v>
      </c>
      <c r="T115" s="716">
        <f>$F$22</f>
        <v>0</v>
      </c>
      <c r="U115" s="690"/>
      <c r="V115" s="717"/>
      <c r="W115" s="717"/>
      <c r="X115" s="717"/>
      <c r="Y115" s="717"/>
      <c r="Z115" s="717"/>
      <c r="AA115" s="717"/>
      <c r="AB115" s="717"/>
      <c r="AC115" s="717"/>
      <c r="AD115" s="728"/>
      <c r="AE115" s="717"/>
      <c r="AF115" s="717"/>
      <c r="AG115" s="717"/>
      <c r="AH115" s="717"/>
      <c r="AI115" s="717"/>
      <c r="AJ115" s="717"/>
      <c r="AK115" s="714"/>
      <c r="AN115" s="646"/>
    </row>
    <row r="116" spans="1:40" ht="13.8" customHeight="1">
      <c r="A116" s="625"/>
      <c r="B116" s="715" t="s">
        <v>11</v>
      </c>
      <c r="C116" s="914" t="str">
        <f t="shared" si="20"/>
        <v/>
      </c>
      <c r="D116" s="914" t="str">
        <f t="shared" si="20"/>
        <v/>
      </c>
      <c r="E116" s="914" t="str">
        <f t="shared" si="20"/>
        <v/>
      </c>
      <c r="F116" s="914" t="str">
        <f t="shared" si="20"/>
        <v/>
      </c>
      <c r="G116" s="914" t="str">
        <f t="shared" si="20"/>
        <v/>
      </c>
      <c r="H116" s="914" t="str">
        <f t="shared" si="20"/>
        <v/>
      </c>
      <c r="I116" s="914" t="str">
        <f t="shared" si="20"/>
        <v/>
      </c>
      <c r="J116" s="914" t="str">
        <f t="shared" si="20"/>
        <v/>
      </c>
      <c r="K116" s="914" t="str">
        <f t="shared" si="20"/>
        <v/>
      </c>
      <c r="L116" s="914" t="str">
        <f t="shared" si="20"/>
        <v/>
      </c>
      <c r="M116" s="914" t="str">
        <f t="shared" si="20"/>
        <v/>
      </c>
      <c r="N116" s="914">
        <f t="shared" si="20"/>
        <v>0.25</v>
      </c>
      <c r="O116" s="914" t="str">
        <f t="shared" si="20"/>
        <v/>
      </c>
      <c r="P116" s="914" t="str">
        <f t="shared" si="20"/>
        <v/>
      </c>
      <c r="Q116" s="914" t="str">
        <f t="shared" si="20"/>
        <v/>
      </c>
      <c r="R116" s="733">
        <f t="shared" si="22"/>
        <v>30</v>
      </c>
      <c r="S116" s="717" t="s">
        <v>40</v>
      </c>
      <c r="T116" s="716">
        <f>$G$22</f>
        <v>30</v>
      </c>
      <c r="U116" s="690"/>
      <c r="V116" s="717"/>
      <c r="W116" s="717"/>
      <c r="X116" s="717"/>
      <c r="Y116" s="717"/>
      <c r="Z116" s="717"/>
      <c r="AA116" s="717"/>
      <c r="AB116" s="717"/>
      <c r="AC116" s="717"/>
      <c r="AD116" s="728"/>
      <c r="AE116" s="717"/>
      <c r="AF116" s="717"/>
      <c r="AG116" s="717"/>
      <c r="AH116" s="717"/>
      <c r="AI116" s="717"/>
      <c r="AJ116" s="717"/>
      <c r="AK116" s="714"/>
      <c r="AN116" s="646"/>
    </row>
    <row r="117" spans="1:40" ht="13.8" customHeight="1">
      <c r="A117" s="625"/>
      <c r="B117" s="715" t="s">
        <v>12</v>
      </c>
      <c r="C117" s="914" t="str">
        <f t="shared" si="20"/>
        <v/>
      </c>
      <c r="D117" s="914" t="str">
        <f t="shared" si="20"/>
        <v/>
      </c>
      <c r="E117" s="914" t="str">
        <f t="shared" si="20"/>
        <v/>
      </c>
      <c r="F117" s="914" t="str">
        <f t="shared" si="20"/>
        <v/>
      </c>
      <c r="G117" s="914" t="str">
        <f t="shared" si="20"/>
        <v/>
      </c>
      <c r="H117" s="914" t="str">
        <f t="shared" si="20"/>
        <v/>
      </c>
      <c r="I117" s="914" t="str">
        <f t="shared" si="20"/>
        <v/>
      </c>
      <c r="J117" s="914" t="str">
        <f t="shared" si="20"/>
        <v/>
      </c>
      <c r="K117" s="914" t="str">
        <f t="shared" si="20"/>
        <v/>
      </c>
      <c r="L117" s="914" t="str">
        <f t="shared" si="20"/>
        <v/>
      </c>
      <c r="M117" s="914" t="str">
        <f t="shared" si="20"/>
        <v/>
      </c>
      <c r="N117" s="914" t="str">
        <f t="shared" si="20"/>
        <v/>
      </c>
      <c r="O117" s="914" t="str">
        <f t="shared" si="20"/>
        <v/>
      </c>
      <c r="P117" s="914" t="str">
        <f t="shared" si="20"/>
        <v/>
      </c>
      <c r="Q117" s="914" t="str">
        <f t="shared" si="20"/>
        <v/>
      </c>
      <c r="R117" s="733">
        <f t="shared" si="22"/>
        <v>0</v>
      </c>
      <c r="S117" s="717" t="s">
        <v>40</v>
      </c>
      <c r="T117" s="716">
        <f>$H$22</f>
        <v>0</v>
      </c>
      <c r="U117" s="690"/>
      <c r="V117" s="717"/>
      <c r="W117" s="717"/>
      <c r="X117" s="717"/>
      <c r="Y117" s="717"/>
      <c r="Z117" s="717"/>
      <c r="AA117" s="717"/>
      <c r="AB117" s="717"/>
      <c r="AC117" s="717"/>
      <c r="AD117" s="728"/>
      <c r="AE117" s="717"/>
      <c r="AF117" s="717"/>
      <c r="AG117" s="717"/>
      <c r="AH117" s="717"/>
      <c r="AI117" s="717"/>
      <c r="AJ117" s="717"/>
      <c r="AK117" s="714"/>
      <c r="AN117" s="646"/>
    </row>
    <row r="118" spans="1:40" ht="13.8" customHeight="1">
      <c r="A118" s="625"/>
      <c r="B118" s="715" t="s">
        <v>14</v>
      </c>
      <c r="C118" s="914" t="str">
        <f t="shared" ref="C118:Q120" si="23">IFERROR(IF(HLOOKUP(C$108,$B$149:$AN$165,$A158,FALSE)=0,"",IF(HLOOKUP(C$108,$B$149:$AN$165,$A158,FALSE)&gt;0,HLOOKUP(C$108,$B$149:$AN$165,$A158,FALSE))),"")</f>
        <v/>
      </c>
      <c r="D118" s="914" t="str">
        <f t="shared" si="23"/>
        <v/>
      </c>
      <c r="E118" s="914" t="str">
        <f t="shared" si="23"/>
        <v/>
      </c>
      <c r="F118" s="914" t="str">
        <f t="shared" si="23"/>
        <v/>
      </c>
      <c r="G118" s="914" t="str">
        <f t="shared" si="23"/>
        <v/>
      </c>
      <c r="H118" s="914" t="str">
        <f t="shared" si="23"/>
        <v/>
      </c>
      <c r="I118" s="914" t="str">
        <f t="shared" si="23"/>
        <v/>
      </c>
      <c r="J118" s="914" t="str">
        <f t="shared" si="23"/>
        <v/>
      </c>
      <c r="K118" s="914" t="str">
        <f t="shared" si="23"/>
        <v/>
      </c>
      <c r="L118" s="914" t="str">
        <f t="shared" si="23"/>
        <v/>
      </c>
      <c r="M118" s="914" t="str">
        <f t="shared" si="23"/>
        <v/>
      </c>
      <c r="N118" s="914" t="str">
        <f t="shared" si="23"/>
        <v/>
      </c>
      <c r="O118" s="914" t="str">
        <f t="shared" si="23"/>
        <v/>
      </c>
      <c r="P118" s="914" t="str">
        <f t="shared" si="23"/>
        <v/>
      </c>
      <c r="Q118" s="914" t="str">
        <f t="shared" si="23"/>
        <v/>
      </c>
      <c r="R118" s="733">
        <f t="shared" si="22"/>
        <v>0</v>
      </c>
      <c r="S118" s="717" t="s">
        <v>40</v>
      </c>
      <c r="T118" s="716">
        <f>$I$22</f>
        <v>0</v>
      </c>
      <c r="U118" s="690"/>
      <c r="V118" s="717"/>
      <c r="W118" s="717"/>
      <c r="X118" s="717"/>
      <c r="Y118" s="717"/>
      <c r="Z118" s="717"/>
      <c r="AA118" s="717"/>
      <c r="AB118" s="717"/>
      <c r="AC118" s="717"/>
      <c r="AD118" s="728"/>
      <c r="AE118" s="717"/>
      <c r="AF118" s="717"/>
      <c r="AG118" s="717"/>
      <c r="AH118" s="717"/>
      <c r="AI118" s="717"/>
      <c r="AJ118" s="717"/>
      <c r="AK118" s="714"/>
      <c r="AN118" s="646"/>
    </row>
    <row r="119" spans="1:40" ht="13.8" customHeight="1">
      <c r="A119" s="625"/>
      <c r="B119" s="715" t="s">
        <v>38</v>
      </c>
      <c r="C119" s="914" t="str">
        <f t="shared" si="23"/>
        <v/>
      </c>
      <c r="D119" s="914" t="str">
        <f t="shared" si="23"/>
        <v/>
      </c>
      <c r="E119" s="914" t="str">
        <f t="shared" si="23"/>
        <v/>
      </c>
      <c r="F119" s="914" t="str">
        <f t="shared" si="23"/>
        <v/>
      </c>
      <c r="G119" s="914" t="str">
        <f t="shared" si="23"/>
        <v/>
      </c>
      <c r="H119" s="914" t="str">
        <f t="shared" si="23"/>
        <v/>
      </c>
      <c r="I119" s="914" t="str">
        <f t="shared" si="23"/>
        <v/>
      </c>
      <c r="J119" s="914" t="str">
        <f t="shared" si="23"/>
        <v/>
      </c>
      <c r="K119" s="914" t="str">
        <f t="shared" si="23"/>
        <v/>
      </c>
      <c r="L119" s="914" t="str">
        <f t="shared" si="23"/>
        <v/>
      </c>
      <c r="M119" s="914" t="str">
        <f t="shared" si="23"/>
        <v/>
      </c>
      <c r="N119" s="914" t="str">
        <f t="shared" si="23"/>
        <v/>
      </c>
      <c r="O119" s="914" t="str">
        <f t="shared" si="23"/>
        <v/>
      </c>
      <c r="P119" s="914" t="str">
        <f t="shared" si="23"/>
        <v/>
      </c>
      <c r="Q119" s="914" t="str">
        <f t="shared" si="23"/>
        <v/>
      </c>
      <c r="R119" s="733">
        <f t="shared" si="22"/>
        <v>0</v>
      </c>
      <c r="S119" s="717" t="s">
        <v>40</v>
      </c>
      <c r="T119" s="716">
        <f>$J$22</f>
        <v>0</v>
      </c>
      <c r="U119" s="690"/>
      <c r="V119" s="717"/>
      <c r="W119" s="717"/>
      <c r="X119" s="717"/>
      <c r="Y119" s="717"/>
      <c r="Z119" s="717"/>
      <c r="AA119" s="717"/>
      <c r="AB119" s="717"/>
      <c r="AC119" s="717"/>
      <c r="AD119" s="728"/>
      <c r="AE119" s="717"/>
      <c r="AF119" s="717"/>
      <c r="AG119" s="717"/>
      <c r="AH119" s="717"/>
      <c r="AI119" s="717"/>
      <c r="AJ119" s="717"/>
      <c r="AK119" s="714"/>
      <c r="AN119" s="646"/>
    </row>
    <row r="120" spans="1:40" ht="13.8" customHeight="1">
      <c r="A120" s="625"/>
      <c r="B120" s="715" t="s">
        <v>145</v>
      </c>
      <c r="C120" s="914" t="str">
        <f t="shared" si="23"/>
        <v/>
      </c>
      <c r="D120" s="914" t="str">
        <f t="shared" si="23"/>
        <v/>
      </c>
      <c r="E120" s="914" t="str">
        <f t="shared" si="23"/>
        <v/>
      </c>
      <c r="F120" s="914" t="str">
        <f t="shared" si="23"/>
        <v/>
      </c>
      <c r="G120" s="914" t="str">
        <f t="shared" si="23"/>
        <v/>
      </c>
      <c r="H120" s="914" t="str">
        <f t="shared" si="23"/>
        <v/>
      </c>
      <c r="I120" s="914" t="str">
        <f t="shared" si="23"/>
        <v/>
      </c>
      <c r="J120" s="914" t="str">
        <f t="shared" si="23"/>
        <v/>
      </c>
      <c r="K120" s="914" t="str">
        <f t="shared" si="23"/>
        <v/>
      </c>
      <c r="L120" s="914" t="str">
        <f t="shared" si="23"/>
        <v/>
      </c>
      <c r="M120" s="914" t="str">
        <f t="shared" si="23"/>
        <v/>
      </c>
      <c r="N120" s="914" t="str">
        <f t="shared" si="23"/>
        <v/>
      </c>
      <c r="O120" s="914" t="str">
        <f t="shared" si="23"/>
        <v/>
      </c>
      <c r="P120" s="914" t="str">
        <f t="shared" si="23"/>
        <v/>
      </c>
      <c r="Q120" s="914" t="str">
        <f t="shared" si="23"/>
        <v/>
      </c>
      <c r="R120" s="733">
        <f t="shared" si="22"/>
        <v>0</v>
      </c>
      <c r="S120" s="717" t="s">
        <v>40</v>
      </c>
      <c r="T120" s="716">
        <f>$K$22</f>
        <v>0</v>
      </c>
      <c r="U120" s="690"/>
      <c r="V120" s="734"/>
      <c r="W120" s="734"/>
      <c r="X120" s="734"/>
      <c r="Y120" s="734"/>
      <c r="Z120" s="734"/>
      <c r="AA120" s="734"/>
      <c r="AB120" s="734"/>
      <c r="AC120" s="734"/>
      <c r="AD120" s="735"/>
      <c r="AE120" s="734"/>
      <c r="AF120" s="717"/>
      <c r="AG120" s="717"/>
      <c r="AH120" s="717"/>
      <c r="AI120" s="717"/>
      <c r="AJ120" s="717"/>
      <c r="AK120" s="714"/>
      <c r="AN120" s="646"/>
    </row>
    <row r="121" spans="1:40" ht="13.8" customHeight="1">
      <c r="A121" s="625"/>
      <c r="B121" s="715" t="s">
        <v>13</v>
      </c>
      <c r="C121" s="914" t="str">
        <f t="shared" ref="C121:Q121" si="24">IFERROR(IF(HLOOKUP(C$108,$B$149:$AN$165,$A157,FALSE)=0,"",IF(HLOOKUP(C$108,$B$149:$AN$165,$A157,FALSE)&gt;0,HLOOKUP(C$108,$B$149:$AN$165,$A157,FALSE))),"")</f>
        <v/>
      </c>
      <c r="D121" s="914" t="str">
        <f t="shared" si="24"/>
        <v/>
      </c>
      <c r="E121" s="914" t="str">
        <f t="shared" si="24"/>
        <v/>
      </c>
      <c r="F121" s="914" t="str">
        <f t="shared" si="24"/>
        <v/>
      </c>
      <c r="G121" s="914" t="str">
        <f t="shared" si="24"/>
        <v/>
      </c>
      <c r="H121" s="914" t="str">
        <f t="shared" si="24"/>
        <v/>
      </c>
      <c r="I121" s="914" t="str">
        <f t="shared" si="24"/>
        <v/>
      </c>
      <c r="J121" s="914" t="str">
        <f t="shared" si="24"/>
        <v/>
      </c>
      <c r="K121" s="914">
        <f t="shared" si="24"/>
        <v>0.48</v>
      </c>
      <c r="L121" s="914" t="str">
        <f t="shared" si="24"/>
        <v/>
      </c>
      <c r="M121" s="914" t="str">
        <f t="shared" si="24"/>
        <v/>
      </c>
      <c r="N121" s="914" t="str">
        <f t="shared" si="24"/>
        <v/>
      </c>
      <c r="O121" s="914" t="str">
        <f t="shared" si="24"/>
        <v/>
      </c>
      <c r="P121" s="914" t="str">
        <f t="shared" si="24"/>
        <v/>
      </c>
      <c r="Q121" s="914" t="str">
        <f t="shared" si="24"/>
        <v/>
      </c>
      <c r="R121" s="733">
        <f t="shared" si="22"/>
        <v>80.000000000000014</v>
      </c>
      <c r="S121" s="717" t="s">
        <v>40</v>
      </c>
      <c r="T121" s="716">
        <f>IF($U$22="",0,$U$22)</f>
        <v>0</v>
      </c>
      <c r="U121" s="690"/>
      <c r="V121" s="736"/>
      <c r="W121" s="737"/>
      <c r="X121" s="737"/>
      <c r="Y121" s="737"/>
      <c r="Z121" s="737"/>
      <c r="AA121" s="737"/>
      <c r="AB121" s="737"/>
      <c r="AC121" s="737"/>
      <c r="AD121" s="738"/>
      <c r="AE121" s="738"/>
      <c r="AF121" s="738"/>
      <c r="AG121" s="738"/>
      <c r="AH121" s="738"/>
      <c r="AI121" s="738"/>
      <c r="AJ121" s="739"/>
      <c r="AK121" s="693"/>
      <c r="AN121" s="646"/>
    </row>
    <row r="122" spans="1:40" ht="13.8" customHeight="1">
      <c r="A122" s="625"/>
      <c r="B122" s="715" t="s">
        <v>101</v>
      </c>
      <c r="C122" s="726">
        <f t="shared" ref="C122:Q123" si="25">IFERROR(IF(HLOOKUP(C$108,$B$149:$AN$165,$A163,FALSE)=0,"",IF(HLOOKUP(C$108,$B$149:$AN$165,$A163,FALSE)&gt;0,HLOOKUP(C$108,$B$149:$AN$165,$A163,FALSE))),"")</f>
        <v>104</v>
      </c>
      <c r="D122" s="726">
        <f t="shared" si="25"/>
        <v>88.3</v>
      </c>
      <c r="E122" s="726" t="str">
        <f t="shared" si="25"/>
        <v/>
      </c>
      <c r="F122" s="726" t="str">
        <f t="shared" si="25"/>
        <v/>
      </c>
      <c r="G122" s="726">
        <f t="shared" si="25"/>
        <v>26.7</v>
      </c>
      <c r="H122" s="726" t="str">
        <f t="shared" si="25"/>
        <v/>
      </c>
      <c r="I122" s="726" t="str">
        <f t="shared" si="25"/>
        <v/>
      </c>
      <c r="J122" s="726" t="str">
        <f t="shared" si="25"/>
        <v/>
      </c>
      <c r="K122" s="726">
        <f t="shared" si="25"/>
        <v>129.5</v>
      </c>
      <c r="L122" s="726" t="str">
        <f t="shared" si="25"/>
        <v/>
      </c>
      <c r="M122" s="726" t="str">
        <f t="shared" si="25"/>
        <v/>
      </c>
      <c r="N122" s="726">
        <f t="shared" si="25"/>
        <v>44</v>
      </c>
      <c r="O122" s="726" t="str">
        <f t="shared" si="25"/>
        <v/>
      </c>
      <c r="P122" s="726" t="str">
        <f t="shared" si="25"/>
        <v/>
      </c>
      <c r="Q122" s="726" t="str">
        <f t="shared" si="25"/>
        <v/>
      </c>
      <c r="R122" s="715"/>
      <c r="S122" s="717"/>
      <c r="T122" s="715"/>
      <c r="U122" s="690"/>
      <c r="V122" s="736"/>
      <c r="W122" s="737"/>
      <c r="X122" s="737"/>
      <c r="Y122" s="737"/>
      <c r="Z122" s="737"/>
      <c r="AA122" s="737"/>
      <c r="AB122" s="737"/>
      <c r="AC122" s="737"/>
      <c r="AD122" s="738"/>
      <c r="AE122" s="738"/>
      <c r="AF122" s="738"/>
      <c r="AG122" s="738"/>
      <c r="AH122" s="738"/>
      <c r="AI122" s="738"/>
      <c r="AJ122" s="739"/>
      <c r="AK122" s="693"/>
      <c r="AN122" s="646"/>
    </row>
    <row r="123" spans="1:40" ht="13.8" customHeight="1">
      <c r="A123" s="625"/>
      <c r="B123" s="715" t="s">
        <v>106</v>
      </c>
      <c r="C123" s="726">
        <f t="shared" si="25"/>
        <v>2300</v>
      </c>
      <c r="D123" s="726">
        <f t="shared" si="25"/>
        <v>840</v>
      </c>
      <c r="E123" s="726" t="str">
        <f t="shared" si="25"/>
        <v/>
      </c>
      <c r="F123" s="726" t="str">
        <f t="shared" si="25"/>
        <v/>
      </c>
      <c r="G123" s="726">
        <f t="shared" si="25"/>
        <v>500</v>
      </c>
      <c r="H123" s="726" t="str">
        <f t="shared" si="25"/>
        <v/>
      </c>
      <c r="I123" s="726" t="str">
        <f t="shared" si="25"/>
        <v/>
      </c>
      <c r="J123" s="726" t="str">
        <f t="shared" si="25"/>
        <v/>
      </c>
      <c r="K123" s="726">
        <f t="shared" si="25"/>
        <v>350</v>
      </c>
      <c r="L123" s="726" t="str">
        <f t="shared" si="25"/>
        <v/>
      </c>
      <c r="M123" s="726" t="str">
        <f t="shared" si="25"/>
        <v/>
      </c>
      <c r="N123" s="726">
        <f t="shared" si="25"/>
        <v>118</v>
      </c>
      <c r="O123" s="726" t="str">
        <f t="shared" si="25"/>
        <v/>
      </c>
      <c r="P123" s="726" t="str">
        <f t="shared" si="25"/>
        <v/>
      </c>
      <c r="Q123" s="726" t="str">
        <f t="shared" si="25"/>
        <v/>
      </c>
      <c r="R123" s="715"/>
      <c r="S123" s="717"/>
      <c r="T123" s="715"/>
      <c r="U123" s="690"/>
      <c r="V123" s="736"/>
      <c r="W123" s="736"/>
      <c r="X123" s="736"/>
      <c r="Y123" s="736"/>
      <c r="Z123" s="736"/>
      <c r="AA123" s="736"/>
      <c r="AB123" s="736"/>
      <c r="AC123" s="736"/>
      <c r="AD123" s="736"/>
      <c r="AE123" s="736"/>
      <c r="AF123" s="736"/>
      <c r="AG123" s="738"/>
      <c r="AH123" s="738"/>
      <c r="AI123" s="738"/>
      <c r="AJ123" s="739"/>
      <c r="AK123" s="693"/>
      <c r="AN123" s="646"/>
    </row>
    <row r="124" spans="1:40" ht="13.8" customHeight="1">
      <c r="A124" s="625"/>
      <c r="B124" s="740"/>
      <c r="R124" s="645"/>
      <c r="S124" s="645"/>
      <c r="T124" s="645"/>
      <c r="U124" s="690"/>
      <c r="V124" s="740"/>
      <c r="W124" s="633"/>
      <c r="X124" s="633"/>
      <c r="Y124" s="633"/>
      <c r="Z124" s="633"/>
      <c r="AA124" s="633"/>
      <c r="AB124" s="633"/>
      <c r="AC124" s="633"/>
      <c r="AD124" s="741"/>
      <c r="AE124" s="741"/>
      <c r="AF124" s="741"/>
      <c r="AG124" s="741"/>
      <c r="AH124" s="741"/>
      <c r="AI124" s="741"/>
      <c r="AJ124" s="742"/>
      <c r="AK124" s="693"/>
      <c r="AN124" s="646"/>
    </row>
    <row r="125" spans="1:40" ht="13.8" customHeight="1">
      <c r="A125" s="625"/>
      <c r="B125" s="671"/>
      <c r="C125" s="645"/>
      <c r="D125" s="645"/>
      <c r="E125" s="645"/>
      <c r="F125" s="645"/>
      <c r="G125" s="645"/>
      <c r="H125" s="645"/>
      <c r="I125" s="645"/>
      <c r="J125" s="645"/>
      <c r="K125" s="645"/>
      <c r="L125" s="645"/>
      <c r="M125" s="645"/>
      <c r="N125" s="645"/>
      <c r="O125" s="645"/>
      <c r="P125" s="645"/>
      <c r="Q125" s="645"/>
      <c r="R125" s="645"/>
      <c r="S125" s="645"/>
      <c r="T125" s="645"/>
      <c r="U125" s="690"/>
      <c r="V125" s="672"/>
      <c r="W125" s="673"/>
      <c r="X125" s="673"/>
      <c r="Y125" s="673"/>
      <c r="Z125" s="673"/>
      <c r="AA125" s="673"/>
      <c r="AB125" s="673"/>
      <c r="AC125" s="673"/>
      <c r="AD125" s="743"/>
      <c r="AE125" s="743"/>
      <c r="AF125" s="743"/>
      <c r="AG125" s="743"/>
      <c r="AH125" s="743"/>
      <c r="AI125" s="743"/>
      <c r="AJ125" s="744"/>
      <c r="AK125" s="693"/>
      <c r="AN125" s="646"/>
    </row>
    <row r="126" spans="1:40" ht="13.8" customHeight="1">
      <c r="A126" s="625"/>
      <c r="B126" s="745"/>
      <c r="C126" s="746" t="s">
        <v>159</v>
      </c>
      <c r="D126" s="746" t="s">
        <v>160</v>
      </c>
      <c r="E126" s="746" t="s">
        <v>161</v>
      </c>
      <c r="F126" s="746" t="s">
        <v>162</v>
      </c>
      <c r="G126" s="746" t="s">
        <v>163</v>
      </c>
      <c r="H126" s="746" t="s">
        <v>164</v>
      </c>
      <c r="I126" s="746" t="s">
        <v>165</v>
      </c>
      <c r="J126" s="746" t="s">
        <v>166</v>
      </c>
      <c r="K126" s="746" t="s">
        <v>167</v>
      </c>
      <c r="L126" s="746" t="s">
        <v>168</v>
      </c>
      <c r="M126" s="746" t="s">
        <v>169</v>
      </c>
      <c r="N126" s="746" t="s">
        <v>170</v>
      </c>
      <c r="O126" s="746" t="s">
        <v>171</v>
      </c>
      <c r="P126" s="746" t="s">
        <v>172</v>
      </c>
      <c r="Q126" s="746" t="s">
        <v>173</v>
      </c>
      <c r="R126" s="745"/>
      <c r="S126" s="745"/>
      <c r="T126" s="747"/>
      <c r="U126" s="690"/>
      <c r="V126" s="713" t="s">
        <v>159</v>
      </c>
      <c r="W126" s="713" t="s">
        <v>160</v>
      </c>
      <c r="X126" s="713" t="s">
        <v>161</v>
      </c>
      <c r="Y126" s="713" t="s">
        <v>162</v>
      </c>
      <c r="Z126" s="713" t="s">
        <v>163</v>
      </c>
      <c r="AA126" s="713" t="s">
        <v>164</v>
      </c>
      <c r="AB126" s="713" t="s">
        <v>165</v>
      </c>
      <c r="AC126" s="713" t="s">
        <v>166</v>
      </c>
      <c r="AD126" s="713" t="s">
        <v>167</v>
      </c>
      <c r="AE126" s="713" t="s">
        <v>168</v>
      </c>
      <c r="AF126" s="713" t="s">
        <v>169</v>
      </c>
      <c r="AG126" s="713" t="s">
        <v>170</v>
      </c>
      <c r="AH126" s="713" t="s">
        <v>171</v>
      </c>
      <c r="AI126" s="713" t="s">
        <v>172</v>
      </c>
      <c r="AJ126" s="713" t="s">
        <v>173</v>
      </c>
      <c r="AK126" s="693"/>
      <c r="AN126" s="646"/>
    </row>
    <row r="127" spans="1:40" ht="13.8" customHeight="1">
      <c r="A127" s="625"/>
      <c r="B127" s="715"/>
      <c r="C127" s="761"/>
      <c r="D127" s="761"/>
      <c r="E127" s="761" t="s">
        <v>79</v>
      </c>
      <c r="F127" s="761" t="s">
        <v>42</v>
      </c>
      <c r="G127" s="761"/>
      <c r="H127" s="761"/>
      <c r="I127" s="761" t="s">
        <v>43</v>
      </c>
      <c r="J127" s="761" t="s">
        <v>9</v>
      </c>
      <c r="K127" s="761"/>
      <c r="L127" s="761"/>
      <c r="M127" s="761"/>
      <c r="N127" s="761"/>
      <c r="O127" s="761"/>
      <c r="P127" s="761"/>
      <c r="Q127" s="761"/>
      <c r="R127" s="715"/>
      <c r="S127" s="715"/>
      <c r="T127" s="716"/>
      <c r="U127" s="690"/>
      <c r="V127" s="778" t="s">
        <v>79</v>
      </c>
      <c r="W127" s="778" t="s">
        <v>42</v>
      </c>
      <c r="X127" s="778" t="s">
        <v>43</v>
      </c>
      <c r="Y127" s="778" t="s">
        <v>9</v>
      </c>
      <c r="Z127" s="778"/>
      <c r="AA127" s="778"/>
      <c r="AB127" s="778"/>
      <c r="AC127" s="778"/>
      <c r="AD127" s="778"/>
      <c r="AE127" s="778"/>
      <c r="AF127" s="778"/>
      <c r="AG127" s="778"/>
      <c r="AH127" s="778"/>
      <c r="AI127" s="778"/>
      <c r="AJ127" s="778"/>
      <c r="AN127" s="646"/>
    </row>
    <row r="128" spans="1:40" ht="13.8" customHeight="1">
      <c r="A128" s="625"/>
      <c r="B128" s="715"/>
      <c r="C128" s="650" t="str">
        <f t="shared" ref="C128:Q128" si="26">IFERROR(HLOOKUP(C127,$B$17:$AA$18,2,FALSE),"")</f>
        <v/>
      </c>
      <c r="D128" s="650" t="str">
        <f t="shared" si="26"/>
        <v/>
      </c>
      <c r="E128" s="650" t="str">
        <f t="shared" si="26"/>
        <v/>
      </c>
      <c r="F128" s="650">
        <f t="shared" si="26"/>
        <v>340</v>
      </c>
      <c r="G128" s="650" t="str">
        <f t="shared" si="26"/>
        <v/>
      </c>
      <c r="H128" s="650" t="str">
        <f t="shared" si="26"/>
        <v/>
      </c>
      <c r="I128" s="650">
        <f t="shared" si="26"/>
        <v>322</v>
      </c>
      <c r="J128" s="650">
        <f t="shared" si="26"/>
        <v>200</v>
      </c>
      <c r="K128" s="650" t="str">
        <f t="shared" si="26"/>
        <v/>
      </c>
      <c r="L128" s="650" t="str">
        <f t="shared" si="26"/>
        <v/>
      </c>
      <c r="M128" s="650" t="str">
        <f t="shared" si="26"/>
        <v/>
      </c>
      <c r="N128" s="650" t="str">
        <f t="shared" si="26"/>
        <v/>
      </c>
      <c r="O128" s="650" t="str">
        <f t="shared" si="26"/>
        <v/>
      </c>
      <c r="P128" s="650" t="str">
        <f t="shared" si="26"/>
        <v/>
      </c>
      <c r="Q128" s="650" t="str">
        <f t="shared" si="26"/>
        <v/>
      </c>
      <c r="R128" s="715"/>
      <c r="S128" s="715"/>
      <c r="T128" s="718">
        <f>(SUMPRODUCT(C128:Q128,C129:Q129)*0.001)++(T129*$X$22*0.001)</f>
        <v>131.16516168516165</v>
      </c>
      <c r="U128" s="690"/>
      <c r="V128" s="715"/>
      <c r="W128" s="715"/>
      <c r="X128" s="715"/>
      <c r="Y128" s="715"/>
      <c r="Z128" s="715"/>
      <c r="AA128" s="715"/>
      <c r="AB128" s="715"/>
      <c r="AC128" s="715"/>
      <c r="AD128" s="748"/>
      <c r="AE128" s="715"/>
      <c r="AF128" s="715"/>
      <c r="AG128" s="715"/>
      <c r="AH128" s="715"/>
      <c r="AI128" s="715"/>
      <c r="AJ128" s="715"/>
      <c r="AK128" s="693"/>
      <c r="AN128" s="646"/>
    </row>
    <row r="129" spans="1:40" ht="13.8" customHeight="1">
      <c r="A129" s="625"/>
      <c r="B129" s="715"/>
      <c r="C129" s="913">
        <v>0</v>
      </c>
      <c r="D129" s="913">
        <v>0</v>
      </c>
      <c r="E129" s="913">
        <v>388.7959887959866</v>
      </c>
      <c r="F129" s="913">
        <v>192.30769230769229</v>
      </c>
      <c r="G129" s="913">
        <v>0</v>
      </c>
      <c r="H129" s="913">
        <v>0</v>
      </c>
      <c r="I129" s="913">
        <v>166.66666666666671</v>
      </c>
      <c r="J129" s="913">
        <v>0</v>
      </c>
      <c r="K129" s="913">
        <v>0</v>
      </c>
      <c r="L129" s="913">
        <v>0</v>
      </c>
      <c r="M129" s="913">
        <v>0</v>
      </c>
      <c r="N129" s="913">
        <v>0</v>
      </c>
      <c r="O129" s="913">
        <v>0</v>
      </c>
      <c r="P129" s="913">
        <v>0</v>
      </c>
      <c r="Q129" s="913">
        <v>0</v>
      </c>
      <c r="R129" s="715"/>
      <c r="S129" s="715"/>
      <c r="T129" s="895">
        <f>SUM(C129:Q129)</f>
        <v>747.77034777034567</v>
      </c>
      <c r="U129" s="690"/>
      <c r="V129" s="894">
        <f>IFERROR(HLOOKUP(V127,$C$127:$Q$129,3,FALSE),"")</f>
        <v>388.7959887959866</v>
      </c>
      <c r="W129" s="894">
        <f t="shared" ref="W129:AJ129" si="27">IFERROR(HLOOKUP(W127,$C$127:$Q$129,3,FALSE),"")</f>
        <v>192.30769230769229</v>
      </c>
      <c r="X129" s="894">
        <f t="shared" si="27"/>
        <v>166.66666666666671</v>
      </c>
      <c r="Y129" s="894">
        <f t="shared" si="27"/>
        <v>0</v>
      </c>
      <c r="Z129" s="894" t="str">
        <f t="shared" si="27"/>
        <v/>
      </c>
      <c r="AA129" s="894" t="str">
        <f t="shared" si="27"/>
        <v/>
      </c>
      <c r="AB129" s="894" t="str">
        <f t="shared" si="27"/>
        <v/>
      </c>
      <c r="AC129" s="894" t="str">
        <f t="shared" si="27"/>
        <v/>
      </c>
      <c r="AD129" s="894" t="str">
        <f t="shared" si="27"/>
        <v/>
      </c>
      <c r="AE129" s="894" t="str">
        <f t="shared" si="27"/>
        <v/>
      </c>
      <c r="AF129" s="894" t="str">
        <f t="shared" si="27"/>
        <v/>
      </c>
      <c r="AG129" s="894" t="str">
        <f t="shared" si="27"/>
        <v/>
      </c>
      <c r="AH129" s="894" t="str">
        <f t="shared" si="27"/>
        <v/>
      </c>
      <c r="AI129" s="894" t="str">
        <f t="shared" si="27"/>
        <v/>
      </c>
      <c r="AJ129" s="894" t="str">
        <f t="shared" si="27"/>
        <v/>
      </c>
      <c r="AK129" s="693"/>
      <c r="AN129" s="646"/>
    </row>
    <row r="130" spans="1:40" ht="13.8" customHeight="1">
      <c r="A130" s="625"/>
      <c r="B130" s="715"/>
      <c r="C130" s="720" t="str">
        <f t="shared" ref="C130:Q136" si="28">IFERROR(IF(HLOOKUP(C$127,$B$149:$AN$165,$A150,FALSE)=0,"",IF(HLOOKUP(C$127,$B$149:$AN$165,$A150,FALSE)&gt;0,HLOOKUP(C$127,$B$149:$AN$165,$A150,FALSE))),"")</f>
        <v/>
      </c>
      <c r="D130" s="720" t="str">
        <f t="shared" si="28"/>
        <v/>
      </c>
      <c r="E130" s="720">
        <f t="shared" si="28"/>
        <v>1</v>
      </c>
      <c r="F130" s="720">
        <f t="shared" si="28"/>
        <v>1</v>
      </c>
      <c r="G130" s="720" t="str">
        <f t="shared" si="28"/>
        <v/>
      </c>
      <c r="H130" s="720" t="str">
        <f t="shared" si="28"/>
        <v/>
      </c>
      <c r="I130" s="720">
        <f t="shared" si="28"/>
        <v>1</v>
      </c>
      <c r="J130" s="720">
        <f t="shared" si="28"/>
        <v>1</v>
      </c>
      <c r="K130" s="720" t="str">
        <f t="shared" si="28"/>
        <v/>
      </c>
      <c r="L130" s="720" t="str">
        <f t="shared" si="28"/>
        <v/>
      </c>
      <c r="M130" s="720" t="str">
        <f t="shared" si="28"/>
        <v/>
      </c>
      <c r="N130" s="720" t="str">
        <f t="shared" si="28"/>
        <v/>
      </c>
      <c r="O130" s="720" t="str">
        <f t="shared" si="28"/>
        <v/>
      </c>
      <c r="P130" s="720" t="str">
        <f t="shared" si="28"/>
        <v/>
      </c>
      <c r="Q130" s="720" t="str">
        <f t="shared" si="28"/>
        <v/>
      </c>
      <c r="R130" s="721">
        <f>SUMPRODUCT($C$129:$Q$129,C130:Q130)</f>
        <v>747.77034777034567</v>
      </c>
      <c r="S130" s="722" t="s">
        <v>40</v>
      </c>
      <c r="T130" s="723">
        <v>0</v>
      </c>
      <c r="U130" s="690"/>
      <c r="V130" s="719"/>
      <c r="W130" s="719"/>
      <c r="X130" s="719"/>
      <c r="Y130" s="719"/>
      <c r="Z130" s="719"/>
      <c r="AA130" s="719"/>
      <c r="AB130" s="719"/>
      <c r="AC130" s="719"/>
      <c r="AD130" s="725"/>
      <c r="AE130" s="719"/>
      <c r="AF130" s="719"/>
      <c r="AG130" s="719"/>
      <c r="AH130" s="719"/>
      <c r="AI130" s="719"/>
      <c r="AJ130" s="719"/>
      <c r="AK130" s="693"/>
      <c r="AN130" s="646"/>
    </row>
    <row r="131" spans="1:40" ht="13.8" customHeight="1">
      <c r="A131" s="625"/>
      <c r="B131" s="715" t="s">
        <v>80</v>
      </c>
      <c r="C131" s="914" t="str">
        <f t="shared" si="28"/>
        <v/>
      </c>
      <c r="D131" s="914" t="str">
        <f t="shared" si="28"/>
        <v/>
      </c>
      <c r="E131" s="914">
        <f t="shared" si="28"/>
        <v>0.46</v>
      </c>
      <c r="F131" s="914">
        <f t="shared" si="28"/>
        <v>0.11</v>
      </c>
      <c r="G131" s="914" t="str">
        <f t="shared" si="28"/>
        <v/>
      </c>
      <c r="H131" s="914" t="str">
        <f t="shared" si="28"/>
        <v/>
      </c>
      <c r="I131" s="914" t="str">
        <f t="shared" si="28"/>
        <v/>
      </c>
      <c r="J131" s="914" t="str">
        <f t="shared" si="28"/>
        <v/>
      </c>
      <c r="K131" s="914" t="str">
        <f t="shared" si="28"/>
        <v/>
      </c>
      <c r="L131" s="914" t="str">
        <f t="shared" si="28"/>
        <v/>
      </c>
      <c r="M131" s="914" t="str">
        <f t="shared" si="28"/>
        <v/>
      </c>
      <c r="N131" s="914" t="str">
        <f t="shared" si="28"/>
        <v/>
      </c>
      <c r="O131" s="914" t="str">
        <f t="shared" si="28"/>
        <v/>
      </c>
      <c r="P131" s="914" t="str">
        <f t="shared" si="28"/>
        <v/>
      </c>
      <c r="Q131" s="914" t="str">
        <f t="shared" si="28"/>
        <v/>
      </c>
      <c r="R131" s="721">
        <f t="shared" ref="R131:R140" si="29">SUMPRODUCT($C$129:$Q$129,C131:Q131)</f>
        <v>200.000001</v>
      </c>
      <c r="S131" s="717" t="s">
        <v>39</v>
      </c>
      <c r="T131" s="716">
        <f>$C$22</f>
        <v>200</v>
      </c>
      <c r="U131" s="690"/>
      <c r="V131" s="717"/>
      <c r="W131" s="727"/>
      <c r="X131" s="717"/>
      <c r="Y131" s="717"/>
      <c r="Z131" s="717"/>
      <c r="AA131" s="717"/>
      <c r="AB131" s="717"/>
      <c r="AC131" s="717"/>
      <c r="AD131" s="728"/>
      <c r="AE131" s="717"/>
      <c r="AF131" s="717"/>
      <c r="AG131" s="717"/>
      <c r="AH131" s="717"/>
      <c r="AI131" s="717"/>
      <c r="AJ131" s="717"/>
      <c r="AK131" s="693"/>
      <c r="AN131" s="646"/>
    </row>
    <row r="132" spans="1:40" ht="13.8" customHeight="1">
      <c r="A132" s="625"/>
      <c r="B132" s="715" t="s">
        <v>81</v>
      </c>
      <c r="C132" s="914" t="str">
        <f t="shared" si="28"/>
        <v/>
      </c>
      <c r="D132" s="914" t="str">
        <f t="shared" si="28"/>
        <v/>
      </c>
      <c r="E132" s="914" t="str">
        <f t="shared" si="28"/>
        <v/>
      </c>
      <c r="F132" s="914">
        <f t="shared" si="28"/>
        <v>0.52</v>
      </c>
      <c r="G132" s="914" t="str">
        <f t="shared" si="28"/>
        <v/>
      </c>
      <c r="H132" s="914" t="str">
        <f t="shared" si="28"/>
        <v/>
      </c>
      <c r="I132" s="914" t="str">
        <f t="shared" si="28"/>
        <v/>
      </c>
      <c r="J132" s="914" t="str">
        <f t="shared" si="28"/>
        <v/>
      </c>
      <c r="K132" s="914" t="str">
        <f t="shared" si="28"/>
        <v/>
      </c>
      <c r="L132" s="914" t="str">
        <f t="shared" si="28"/>
        <v/>
      </c>
      <c r="M132" s="914" t="str">
        <f t="shared" si="28"/>
        <v/>
      </c>
      <c r="N132" s="914" t="str">
        <f t="shared" si="28"/>
        <v/>
      </c>
      <c r="O132" s="914" t="str">
        <f t="shared" si="28"/>
        <v/>
      </c>
      <c r="P132" s="914" t="str">
        <f t="shared" si="28"/>
        <v/>
      </c>
      <c r="Q132" s="914" t="str">
        <f t="shared" si="28"/>
        <v/>
      </c>
      <c r="R132" s="721">
        <f t="shared" si="29"/>
        <v>100</v>
      </c>
      <c r="S132" s="717" t="s">
        <v>39</v>
      </c>
      <c r="T132" s="716">
        <f>$D$22</f>
        <v>100</v>
      </c>
      <c r="U132" s="690"/>
      <c r="V132" s="683" t="s">
        <v>154</v>
      </c>
      <c r="W132" s="683" t="s">
        <v>155</v>
      </c>
      <c r="X132" s="683" t="s">
        <v>156</v>
      </c>
      <c r="Y132" s="683" t="s">
        <v>83</v>
      </c>
      <c r="Z132" s="683" t="s">
        <v>11</v>
      </c>
      <c r="AA132" s="683" t="s">
        <v>12</v>
      </c>
      <c r="AB132" s="683" t="s">
        <v>14</v>
      </c>
      <c r="AC132" s="683" t="s">
        <v>38</v>
      </c>
      <c r="AD132" s="683" t="s">
        <v>145</v>
      </c>
      <c r="AE132" s="683" t="s">
        <v>13</v>
      </c>
      <c r="AF132" s="683"/>
      <c r="AG132" s="683"/>
      <c r="AH132" s="683"/>
      <c r="AI132" s="683"/>
      <c r="AJ132" s="683"/>
      <c r="AK132" s="693"/>
      <c r="AN132" s="646"/>
    </row>
    <row r="133" spans="1:40" ht="13.8" customHeight="1">
      <c r="A133" s="625"/>
      <c r="B133" s="715" t="s">
        <v>82</v>
      </c>
      <c r="C133" s="914" t="str">
        <f t="shared" si="28"/>
        <v/>
      </c>
      <c r="D133" s="914" t="str">
        <f t="shared" si="28"/>
        <v/>
      </c>
      <c r="E133" s="914" t="str">
        <f t="shared" si="28"/>
        <v/>
      </c>
      <c r="F133" s="914" t="str">
        <f t="shared" si="28"/>
        <v/>
      </c>
      <c r="G133" s="914" t="str">
        <f t="shared" si="28"/>
        <v/>
      </c>
      <c r="H133" s="914" t="str">
        <f t="shared" si="28"/>
        <v/>
      </c>
      <c r="I133" s="914">
        <f t="shared" si="28"/>
        <v>0.6</v>
      </c>
      <c r="J133" s="914">
        <f t="shared" si="28"/>
        <v>0.14060984003516078</v>
      </c>
      <c r="K133" s="914" t="str">
        <f t="shared" si="28"/>
        <v/>
      </c>
      <c r="L133" s="914" t="str">
        <f t="shared" si="28"/>
        <v/>
      </c>
      <c r="M133" s="914" t="str">
        <f t="shared" si="28"/>
        <v/>
      </c>
      <c r="N133" s="914" t="str">
        <f t="shared" si="28"/>
        <v/>
      </c>
      <c r="O133" s="914" t="str">
        <f t="shared" si="28"/>
        <v/>
      </c>
      <c r="P133" s="914" t="str">
        <f t="shared" si="28"/>
        <v/>
      </c>
      <c r="Q133" s="914" t="str">
        <f t="shared" si="28"/>
        <v/>
      </c>
      <c r="R133" s="721">
        <f t="shared" si="29"/>
        <v>100.00000000000003</v>
      </c>
      <c r="S133" s="717" t="s">
        <v>39</v>
      </c>
      <c r="T133" s="716">
        <f>$E$22</f>
        <v>100</v>
      </c>
      <c r="U133" s="690"/>
      <c r="V133" s="749">
        <f>R131</f>
        <v>200.000001</v>
      </c>
      <c r="W133" s="749">
        <f>R132</f>
        <v>100</v>
      </c>
      <c r="X133" s="749">
        <f>R133</f>
        <v>100.00000000000003</v>
      </c>
      <c r="Y133" s="750">
        <f>R134</f>
        <v>0</v>
      </c>
      <c r="Z133" s="750">
        <f>R135</f>
        <v>0</v>
      </c>
      <c r="AA133" s="750">
        <f>R136</f>
        <v>0</v>
      </c>
      <c r="AB133" s="750">
        <f>R137</f>
        <v>0</v>
      </c>
      <c r="AC133" s="750">
        <f>R138</f>
        <v>0</v>
      </c>
      <c r="AD133" s="751">
        <f>R139</f>
        <v>0</v>
      </c>
      <c r="AE133" s="750">
        <f>R140</f>
        <v>80.000000000000014</v>
      </c>
      <c r="AF133" s="752"/>
      <c r="AG133" s="752"/>
      <c r="AH133" s="752"/>
      <c r="AI133" s="752"/>
      <c r="AJ133" s="752"/>
      <c r="AK133" s="693"/>
      <c r="AN133" s="646"/>
    </row>
    <row r="134" spans="1:40" ht="13.8" customHeight="1">
      <c r="A134" s="625"/>
      <c r="B134" s="715" t="s">
        <v>83</v>
      </c>
      <c r="C134" s="914" t="str">
        <f t="shared" si="28"/>
        <v/>
      </c>
      <c r="D134" s="914" t="str">
        <f t="shared" si="28"/>
        <v/>
      </c>
      <c r="E134" s="914" t="str">
        <f t="shared" si="28"/>
        <v/>
      </c>
      <c r="F134" s="914" t="str">
        <f t="shared" si="28"/>
        <v/>
      </c>
      <c r="G134" s="914" t="str">
        <f t="shared" si="28"/>
        <v/>
      </c>
      <c r="H134" s="914" t="str">
        <f t="shared" si="28"/>
        <v/>
      </c>
      <c r="I134" s="914" t="str">
        <f t="shared" si="28"/>
        <v/>
      </c>
      <c r="J134" s="914">
        <f t="shared" si="28"/>
        <v>0.19145626881390515</v>
      </c>
      <c r="K134" s="914" t="str">
        <f t="shared" si="28"/>
        <v/>
      </c>
      <c r="L134" s="914" t="str">
        <f t="shared" si="28"/>
        <v/>
      </c>
      <c r="M134" s="914" t="str">
        <f t="shared" si="28"/>
        <v/>
      </c>
      <c r="N134" s="914" t="str">
        <f t="shared" si="28"/>
        <v/>
      </c>
      <c r="O134" s="914" t="str">
        <f t="shared" si="28"/>
        <v/>
      </c>
      <c r="P134" s="914" t="str">
        <f t="shared" si="28"/>
        <v/>
      </c>
      <c r="Q134" s="914" t="str">
        <f t="shared" si="28"/>
        <v/>
      </c>
      <c r="R134" s="733">
        <f t="shared" si="29"/>
        <v>0</v>
      </c>
      <c r="S134" s="717" t="s">
        <v>40</v>
      </c>
      <c r="T134" s="716">
        <f>$F$22</f>
        <v>0</v>
      </c>
      <c r="U134" s="690"/>
      <c r="V134" s="715"/>
      <c r="W134" s="715"/>
      <c r="X134" s="715"/>
      <c r="Y134" s="715"/>
      <c r="Z134" s="715"/>
      <c r="AA134" s="715"/>
      <c r="AB134" s="715"/>
      <c r="AC134" s="715"/>
      <c r="AD134" s="748"/>
      <c r="AE134" s="715"/>
      <c r="AF134" s="715"/>
      <c r="AG134" s="715"/>
      <c r="AH134" s="715"/>
      <c r="AI134" s="715"/>
      <c r="AJ134" s="715"/>
      <c r="AK134" s="693"/>
      <c r="AN134" s="646"/>
    </row>
    <row r="135" spans="1:40" ht="13.8" customHeight="1">
      <c r="A135" s="625"/>
      <c r="B135" s="715" t="s">
        <v>11</v>
      </c>
      <c r="C135" s="914" t="str">
        <f t="shared" si="28"/>
        <v/>
      </c>
      <c r="D135" s="914" t="str">
        <f t="shared" si="28"/>
        <v/>
      </c>
      <c r="E135" s="914" t="str">
        <f t="shared" si="28"/>
        <v/>
      </c>
      <c r="F135" s="914" t="str">
        <f t="shared" si="28"/>
        <v/>
      </c>
      <c r="G135" s="914" t="str">
        <f t="shared" si="28"/>
        <v/>
      </c>
      <c r="H135" s="914" t="str">
        <f t="shared" si="28"/>
        <v/>
      </c>
      <c r="I135" s="914" t="str">
        <f t="shared" si="28"/>
        <v/>
      </c>
      <c r="J135" s="914">
        <f t="shared" si="28"/>
        <v>6.0161308245362352E-2</v>
      </c>
      <c r="K135" s="914" t="str">
        <f t="shared" si="28"/>
        <v/>
      </c>
      <c r="L135" s="914" t="str">
        <f t="shared" si="28"/>
        <v/>
      </c>
      <c r="M135" s="914" t="str">
        <f t="shared" si="28"/>
        <v/>
      </c>
      <c r="N135" s="914" t="str">
        <f t="shared" si="28"/>
        <v/>
      </c>
      <c r="O135" s="914" t="str">
        <f t="shared" si="28"/>
        <v/>
      </c>
      <c r="P135" s="914" t="str">
        <f t="shared" si="28"/>
        <v/>
      </c>
      <c r="Q135" s="914" t="str">
        <f t="shared" si="28"/>
        <v/>
      </c>
      <c r="R135" s="733">
        <f t="shared" si="29"/>
        <v>0</v>
      </c>
      <c r="S135" s="717" t="s">
        <v>40</v>
      </c>
      <c r="T135" s="716">
        <f>$G$22</f>
        <v>30</v>
      </c>
      <c r="U135" s="690"/>
      <c r="V135" s="715"/>
      <c r="W135" s="715"/>
      <c r="X135" s="715"/>
      <c r="Y135" s="715"/>
      <c r="Z135" s="715"/>
      <c r="AA135" s="715"/>
      <c r="AB135" s="715"/>
      <c r="AC135" s="715"/>
      <c r="AD135" s="748"/>
      <c r="AE135" s="715"/>
      <c r="AF135" s="715"/>
      <c r="AG135" s="715"/>
      <c r="AH135" s="715"/>
      <c r="AI135" s="715"/>
      <c r="AJ135" s="715"/>
      <c r="AK135" s="693"/>
      <c r="AN135" s="646"/>
    </row>
    <row r="136" spans="1:40" ht="13.8" customHeight="1">
      <c r="A136" s="625"/>
      <c r="B136" s="715" t="s">
        <v>12</v>
      </c>
      <c r="C136" s="914" t="str">
        <f t="shared" si="28"/>
        <v/>
      </c>
      <c r="D136" s="914" t="str">
        <f t="shared" si="28"/>
        <v/>
      </c>
      <c r="E136" s="914" t="str">
        <f t="shared" si="28"/>
        <v/>
      </c>
      <c r="F136" s="914" t="str">
        <f t="shared" si="28"/>
        <v/>
      </c>
      <c r="G136" s="914" t="str">
        <f t="shared" si="28"/>
        <v/>
      </c>
      <c r="H136" s="914" t="str">
        <f t="shared" si="28"/>
        <v/>
      </c>
      <c r="I136" s="914" t="str">
        <f t="shared" si="28"/>
        <v/>
      </c>
      <c r="J136" s="914">
        <f t="shared" si="28"/>
        <v>0.16741049349443154</v>
      </c>
      <c r="K136" s="914" t="str">
        <f t="shared" si="28"/>
        <v/>
      </c>
      <c r="L136" s="914" t="str">
        <f t="shared" si="28"/>
        <v/>
      </c>
      <c r="M136" s="914" t="str">
        <f t="shared" si="28"/>
        <v/>
      </c>
      <c r="N136" s="914" t="str">
        <f t="shared" si="28"/>
        <v/>
      </c>
      <c r="O136" s="914" t="str">
        <f t="shared" si="28"/>
        <v/>
      </c>
      <c r="P136" s="914" t="str">
        <f t="shared" si="28"/>
        <v/>
      </c>
      <c r="Q136" s="914" t="str">
        <f t="shared" si="28"/>
        <v/>
      </c>
      <c r="R136" s="733">
        <f t="shared" si="29"/>
        <v>0</v>
      </c>
      <c r="S136" s="717" t="s">
        <v>40</v>
      </c>
      <c r="T136" s="716">
        <f>$H$22</f>
        <v>0</v>
      </c>
      <c r="U136" s="690"/>
      <c r="V136" s="715"/>
      <c r="W136" s="715"/>
      <c r="X136" s="715"/>
      <c r="Y136" s="715"/>
      <c r="Z136" s="715"/>
      <c r="AA136" s="715"/>
      <c r="AB136" s="715"/>
      <c r="AC136" s="715"/>
      <c r="AD136" s="748"/>
      <c r="AE136" s="715"/>
      <c r="AF136" s="715"/>
      <c r="AG136" s="715"/>
      <c r="AH136" s="715"/>
      <c r="AI136" s="715"/>
      <c r="AJ136" s="715"/>
      <c r="AK136" s="693"/>
      <c r="AN136" s="646"/>
    </row>
    <row r="137" spans="1:40" ht="13.8" customHeight="1">
      <c r="A137" s="625"/>
      <c r="B137" s="715" t="s">
        <v>14</v>
      </c>
      <c r="C137" s="914" t="str">
        <f t="shared" ref="C137:Q139" si="30">IFERROR(IF(HLOOKUP(C$127,$B$149:$AN$165,$A158,FALSE)=0,"",IF(HLOOKUP(C$127,$B$149:$AN$165,$A158,FALSE)&gt;0,HLOOKUP(C$127,$B$149:$AN$165,$A158,FALSE))),"")</f>
        <v/>
      </c>
      <c r="D137" s="914" t="str">
        <f t="shared" si="30"/>
        <v/>
      </c>
      <c r="E137" s="914" t="str">
        <f t="shared" si="30"/>
        <v/>
      </c>
      <c r="F137" s="914" t="str">
        <f t="shared" si="30"/>
        <v/>
      </c>
      <c r="G137" s="914" t="str">
        <f t="shared" si="30"/>
        <v/>
      </c>
      <c r="H137" s="914" t="str">
        <f t="shared" si="30"/>
        <v/>
      </c>
      <c r="I137" s="914" t="str">
        <f t="shared" si="30"/>
        <v/>
      </c>
      <c r="J137" s="914" t="str">
        <f t="shared" si="30"/>
        <v/>
      </c>
      <c r="K137" s="914" t="str">
        <f t="shared" si="30"/>
        <v/>
      </c>
      <c r="L137" s="914" t="str">
        <f t="shared" si="30"/>
        <v/>
      </c>
      <c r="M137" s="914" t="str">
        <f t="shared" si="30"/>
        <v/>
      </c>
      <c r="N137" s="914" t="str">
        <f t="shared" si="30"/>
        <v/>
      </c>
      <c r="O137" s="914" t="str">
        <f t="shared" si="30"/>
        <v/>
      </c>
      <c r="P137" s="914" t="str">
        <f t="shared" si="30"/>
        <v/>
      </c>
      <c r="Q137" s="914" t="str">
        <f t="shared" si="30"/>
        <v/>
      </c>
      <c r="R137" s="733">
        <f t="shared" si="29"/>
        <v>0</v>
      </c>
      <c r="S137" s="717" t="s">
        <v>40</v>
      </c>
      <c r="T137" s="716">
        <f>$I$22</f>
        <v>0</v>
      </c>
      <c r="U137" s="690"/>
      <c r="V137" s="715"/>
      <c r="W137" s="715"/>
      <c r="X137" s="715"/>
      <c r="Y137" s="715"/>
      <c r="Z137" s="715"/>
      <c r="AA137" s="715"/>
      <c r="AB137" s="715"/>
      <c r="AC137" s="715"/>
      <c r="AD137" s="748"/>
      <c r="AE137" s="715"/>
      <c r="AF137" s="715"/>
      <c r="AG137" s="715"/>
      <c r="AH137" s="715"/>
      <c r="AI137" s="715"/>
      <c r="AJ137" s="715"/>
      <c r="AK137" s="693"/>
      <c r="AN137" s="646"/>
    </row>
    <row r="138" spans="1:40" ht="13.8" customHeight="1">
      <c r="A138" s="625"/>
      <c r="B138" s="715" t="s">
        <v>38</v>
      </c>
      <c r="C138" s="914" t="str">
        <f t="shared" si="30"/>
        <v/>
      </c>
      <c r="D138" s="914" t="str">
        <f t="shared" si="30"/>
        <v/>
      </c>
      <c r="E138" s="914" t="str">
        <f t="shared" si="30"/>
        <v/>
      </c>
      <c r="F138" s="914" t="str">
        <f t="shared" si="30"/>
        <v/>
      </c>
      <c r="G138" s="914" t="str">
        <f t="shared" si="30"/>
        <v/>
      </c>
      <c r="H138" s="914" t="str">
        <f t="shared" si="30"/>
        <v/>
      </c>
      <c r="I138" s="914" t="str">
        <f t="shared" si="30"/>
        <v/>
      </c>
      <c r="J138" s="914" t="str">
        <f t="shared" si="30"/>
        <v/>
      </c>
      <c r="K138" s="914" t="str">
        <f t="shared" si="30"/>
        <v/>
      </c>
      <c r="L138" s="914" t="str">
        <f t="shared" si="30"/>
        <v/>
      </c>
      <c r="M138" s="914" t="str">
        <f t="shared" si="30"/>
        <v/>
      </c>
      <c r="N138" s="914" t="str">
        <f t="shared" si="30"/>
        <v/>
      </c>
      <c r="O138" s="914" t="str">
        <f t="shared" si="30"/>
        <v/>
      </c>
      <c r="P138" s="914" t="str">
        <f t="shared" si="30"/>
        <v/>
      </c>
      <c r="Q138" s="914" t="str">
        <f t="shared" si="30"/>
        <v/>
      </c>
      <c r="R138" s="733">
        <f t="shared" si="29"/>
        <v>0</v>
      </c>
      <c r="S138" s="717" t="s">
        <v>40</v>
      </c>
      <c r="T138" s="716">
        <f>$J$22</f>
        <v>0</v>
      </c>
      <c r="U138" s="690"/>
      <c r="V138" s="715"/>
      <c r="W138" s="715"/>
      <c r="X138" s="715"/>
      <c r="Y138" s="715"/>
      <c r="Z138" s="715"/>
      <c r="AA138" s="715"/>
      <c r="AB138" s="715"/>
      <c r="AC138" s="715"/>
      <c r="AD138" s="748"/>
      <c r="AE138" s="715"/>
      <c r="AF138" s="715"/>
      <c r="AG138" s="715"/>
      <c r="AH138" s="715"/>
      <c r="AI138" s="715"/>
      <c r="AJ138" s="715"/>
      <c r="AK138" s="693"/>
      <c r="AN138" s="646"/>
    </row>
    <row r="139" spans="1:40" ht="13.8" customHeight="1">
      <c r="A139" s="625"/>
      <c r="B139" s="715" t="s">
        <v>145</v>
      </c>
      <c r="C139" s="914" t="str">
        <f t="shared" si="30"/>
        <v/>
      </c>
      <c r="D139" s="914" t="str">
        <f t="shared" si="30"/>
        <v/>
      </c>
      <c r="E139" s="914" t="str">
        <f t="shared" si="30"/>
        <v/>
      </c>
      <c r="F139" s="914" t="str">
        <f t="shared" si="30"/>
        <v/>
      </c>
      <c r="G139" s="914" t="str">
        <f t="shared" si="30"/>
        <v/>
      </c>
      <c r="H139" s="914" t="str">
        <f t="shared" si="30"/>
        <v/>
      </c>
      <c r="I139" s="914" t="str">
        <f t="shared" si="30"/>
        <v/>
      </c>
      <c r="J139" s="914" t="str">
        <f t="shared" si="30"/>
        <v/>
      </c>
      <c r="K139" s="914" t="str">
        <f t="shared" si="30"/>
        <v/>
      </c>
      <c r="L139" s="914" t="str">
        <f t="shared" si="30"/>
        <v/>
      </c>
      <c r="M139" s="914" t="str">
        <f t="shared" si="30"/>
        <v/>
      </c>
      <c r="N139" s="914" t="str">
        <f t="shared" si="30"/>
        <v/>
      </c>
      <c r="O139" s="914" t="str">
        <f t="shared" si="30"/>
        <v/>
      </c>
      <c r="P139" s="914" t="str">
        <f t="shared" si="30"/>
        <v/>
      </c>
      <c r="Q139" s="914" t="str">
        <f t="shared" si="30"/>
        <v/>
      </c>
      <c r="R139" s="733">
        <f t="shared" si="29"/>
        <v>0</v>
      </c>
      <c r="S139" s="717" t="s">
        <v>40</v>
      </c>
      <c r="T139" s="716">
        <f>$K$22</f>
        <v>0</v>
      </c>
      <c r="U139" s="690"/>
      <c r="V139" s="715"/>
      <c r="W139" s="715"/>
      <c r="X139" s="715"/>
      <c r="Y139" s="715"/>
      <c r="Z139" s="715"/>
      <c r="AA139" s="715"/>
      <c r="AB139" s="715"/>
      <c r="AC139" s="715"/>
      <c r="AD139" s="748"/>
      <c r="AE139" s="715"/>
      <c r="AF139" s="715"/>
      <c r="AG139" s="715"/>
      <c r="AH139" s="715"/>
      <c r="AI139" s="715"/>
      <c r="AJ139" s="715"/>
      <c r="AK139" s="693"/>
      <c r="AL139" s="673"/>
      <c r="AM139" s="673"/>
      <c r="AN139" s="674"/>
    </row>
    <row r="140" spans="1:40" ht="13.8" customHeight="1">
      <c r="A140" s="625"/>
      <c r="B140" s="715" t="s">
        <v>13</v>
      </c>
      <c r="C140" s="914" t="str">
        <f>IFERROR(IF(HLOOKUP(C$127,$B$149:$AN$165,$A157,FALSE)=0,"",IF(HLOOKUP(C$127,$B$149:$AN$165,$A157,FALSE)&gt;0,HLOOKUP(C$127,$B$149:$AN$165,$A157,FALSE))),"")</f>
        <v/>
      </c>
      <c r="D140" s="914" t="str">
        <f t="shared" ref="D140:Q140" si="31">IFERROR(IF(HLOOKUP(D$127,$B$149:$AN$165,$A157,FALSE)=0,"",IF(HLOOKUP(D$127,$B$149:$AN$165,$A157,FALSE)&gt;0,HLOOKUP(D$127,$B$149:$AN$165,$A157,FALSE))),"")</f>
        <v/>
      </c>
      <c r="E140" s="914" t="str">
        <f t="shared" si="31"/>
        <v/>
      </c>
      <c r="F140" s="914" t="str">
        <f t="shared" si="31"/>
        <v/>
      </c>
      <c r="G140" s="914" t="str">
        <f t="shared" si="31"/>
        <v/>
      </c>
      <c r="H140" s="914" t="str">
        <f t="shared" si="31"/>
        <v/>
      </c>
      <c r="I140" s="914">
        <f t="shared" si="31"/>
        <v>0.48</v>
      </c>
      <c r="J140" s="914">
        <f t="shared" si="31"/>
        <v>0.02</v>
      </c>
      <c r="K140" s="914" t="str">
        <f t="shared" si="31"/>
        <v/>
      </c>
      <c r="L140" s="914" t="str">
        <f t="shared" si="31"/>
        <v/>
      </c>
      <c r="M140" s="914" t="str">
        <f t="shared" si="31"/>
        <v/>
      </c>
      <c r="N140" s="914" t="str">
        <f t="shared" si="31"/>
        <v/>
      </c>
      <c r="O140" s="914" t="str">
        <f t="shared" si="31"/>
        <v/>
      </c>
      <c r="P140" s="914" t="str">
        <f t="shared" si="31"/>
        <v/>
      </c>
      <c r="Q140" s="914" t="str">
        <f t="shared" si="31"/>
        <v/>
      </c>
      <c r="R140" s="733">
        <f t="shared" si="29"/>
        <v>80.000000000000014</v>
      </c>
      <c r="S140" s="717" t="s">
        <v>40</v>
      </c>
      <c r="T140" s="716">
        <f>IF($U$22="",0,$U$22)</f>
        <v>0</v>
      </c>
      <c r="U140" s="690"/>
      <c r="V140" s="740"/>
      <c r="W140" s="633"/>
      <c r="X140" s="633"/>
      <c r="Y140" s="633"/>
      <c r="Z140" s="633"/>
      <c r="AA140" s="741"/>
      <c r="AB140" s="633"/>
      <c r="AC140" s="633"/>
      <c r="AD140" s="633"/>
      <c r="AE140" s="633"/>
      <c r="AF140" s="633"/>
      <c r="AG140" s="633"/>
      <c r="AH140" s="633"/>
      <c r="AI140" s="633"/>
      <c r="AJ140" s="633"/>
      <c r="AK140" s="633"/>
      <c r="AL140" s="633"/>
      <c r="AM140" s="633"/>
      <c r="AN140" s="634"/>
    </row>
    <row r="141" spans="1:40" ht="13.8" customHeight="1">
      <c r="A141" s="625"/>
      <c r="B141" s="753" t="s">
        <v>9</v>
      </c>
      <c r="C141" s="915" t="str">
        <f t="shared" ref="C141:Q143" si="32">IFERROR(IF(HLOOKUP(C$127,$B$149:$AN$165,$A162,FALSE)=0,"",IF(HLOOKUP(C$127,$B$149:$AN$165,$A162,FALSE)&gt;0,HLOOKUP(C$127,$B$149:$AN$165,$A162,FALSE))),"")</f>
        <v/>
      </c>
      <c r="D141" s="915" t="str">
        <f t="shared" si="32"/>
        <v/>
      </c>
      <c r="E141" s="915" t="str">
        <f t="shared" si="32"/>
        <v/>
      </c>
      <c r="F141" s="915" t="str">
        <f t="shared" si="32"/>
        <v/>
      </c>
      <c r="G141" s="915" t="str">
        <f t="shared" si="32"/>
        <v/>
      </c>
      <c r="H141" s="915" t="str">
        <f t="shared" si="32"/>
        <v/>
      </c>
      <c r="I141" s="915" t="str">
        <f t="shared" si="32"/>
        <v/>
      </c>
      <c r="J141" s="915">
        <f t="shared" si="32"/>
        <v>1</v>
      </c>
      <c r="K141" s="915" t="str">
        <f t="shared" si="32"/>
        <v/>
      </c>
      <c r="L141" s="915" t="str">
        <f t="shared" si="32"/>
        <v/>
      </c>
      <c r="M141" s="915" t="str">
        <f t="shared" si="32"/>
        <v/>
      </c>
      <c r="N141" s="915" t="str">
        <f t="shared" si="32"/>
        <v/>
      </c>
      <c r="O141" s="915" t="str">
        <f t="shared" si="32"/>
        <v/>
      </c>
      <c r="P141" s="915" t="str">
        <f t="shared" si="32"/>
        <v/>
      </c>
      <c r="Q141" s="915" t="str">
        <f t="shared" si="32"/>
        <v/>
      </c>
      <c r="R141" s="754">
        <f>SUMPRODUCT($C$129:$Q$129,C141:Q141)</f>
        <v>0</v>
      </c>
      <c r="S141" s="755" t="s">
        <v>39</v>
      </c>
      <c r="T141" s="916">
        <v>0</v>
      </c>
      <c r="U141" s="690"/>
      <c r="V141" s="671"/>
      <c r="W141" s="645"/>
      <c r="X141" s="645"/>
      <c r="Y141" s="645"/>
      <c r="Z141" s="645"/>
      <c r="AA141" s="460"/>
      <c r="AB141" s="645"/>
      <c r="AC141" s="645"/>
      <c r="AD141" s="645"/>
      <c r="AE141" s="645"/>
      <c r="AF141" s="645"/>
      <c r="AG141" s="645"/>
      <c r="AH141" s="645"/>
      <c r="AI141" s="645"/>
      <c r="AJ141" s="645"/>
      <c r="AK141" s="645"/>
      <c r="AL141" s="645"/>
      <c r="AM141" s="645"/>
      <c r="AN141" s="646"/>
    </row>
    <row r="142" spans="1:40" ht="13.8" customHeight="1">
      <c r="A142" s="625"/>
      <c r="B142" s="715" t="s">
        <v>101</v>
      </c>
      <c r="C142" s="726" t="str">
        <f t="shared" si="32"/>
        <v/>
      </c>
      <c r="D142" s="726" t="str">
        <f t="shared" si="32"/>
        <v/>
      </c>
      <c r="E142" s="726">
        <f t="shared" si="32"/>
        <v>74.400000000000006</v>
      </c>
      <c r="F142" s="726">
        <f t="shared" si="32"/>
        <v>26.7</v>
      </c>
      <c r="G142" s="726" t="str">
        <f t="shared" si="32"/>
        <v/>
      </c>
      <c r="H142" s="726" t="str">
        <f t="shared" si="32"/>
        <v/>
      </c>
      <c r="I142" s="726">
        <f t="shared" si="32"/>
        <v>129.5</v>
      </c>
      <c r="J142" s="726">
        <f t="shared" si="32"/>
        <v>76</v>
      </c>
      <c r="K142" s="726" t="str">
        <f t="shared" si="32"/>
        <v/>
      </c>
      <c r="L142" s="726" t="str">
        <f t="shared" si="32"/>
        <v/>
      </c>
      <c r="M142" s="726" t="str">
        <f t="shared" si="32"/>
        <v/>
      </c>
      <c r="N142" s="726" t="str">
        <f t="shared" si="32"/>
        <v/>
      </c>
      <c r="O142" s="726" t="str">
        <f t="shared" si="32"/>
        <v/>
      </c>
      <c r="P142" s="726" t="str">
        <f t="shared" si="32"/>
        <v/>
      </c>
      <c r="Q142" s="726" t="str">
        <f t="shared" si="32"/>
        <v/>
      </c>
      <c r="R142" s="715"/>
      <c r="S142" s="715"/>
      <c r="T142" s="715"/>
      <c r="U142" s="690"/>
      <c r="V142" s="740"/>
      <c r="W142" s="633"/>
      <c r="X142" s="633"/>
      <c r="Y142" s="633"/>
      <c r="Z142" s="633"/>
      <c r="AA142" s="741"/>
      <c r="AB142" s="633"/>
      <c r="AC142" s="633"/>
      <c r="AD142" s="633"/>
      <c r="AE142" s="633"/>
      <c r="AF142" s="633"/>
      <c r="AG142" s="633"/>
      <c r="AH142" s="633"/>
      <c r="AI142" s="633"/>
      <c r="AJ142" s="633"/>
      <c r="AK142" s="633"/>
      <c r="AL142" s="633"/>
      <c r="AM142" s="633"/>
      <c r="AN142" s="634"/>
    </row>
    <row r="143" spans="1:40" ht="13.8" customHeight="1">
      <c r="A143" s="625"/>
      <c r="B143" s="715" t="s">
        <v>106</v>
      </c>
      <c r="C143" s="726" t="str">
        <f t="shared" si="32"/>
        <v/>
      </c>
      <c r="D143" s="726" t="str">
        <f t="shared" si="32"/>
        <v/>
      </c>
      <c r="E143" s="726">
        <f t="shared" si="32"/>
        <v>1800</v>
      </c>
      <c r="F143" s="726">
        <f t="shared" si="32"/>
        <v>500</v>
      </c>
      <c r="G143" s="726" t="str">
        <f t="shared" si="32"/>
        <v/>
      </c>
      <c r="H143" s="726" t="str">
        <f t="shared" si="32"/>
        <v/>
      </c>
      <c r="I143" s="726">
        <f t="shared" si="32"/>
        <v>350</v>
      </c>
      <c r="J143" s="726">
        <f t="shared" si="32"/>
        <v>51</v>
      </c>
      <c r="K143" s="726" t="str">
        <f t="shared" si="32"/>
        <v/>
      </c>
      <c r="L143" s="726" t="str">
        <f t="shared" si="32"/>
        <v/>
      </c>
      <c r="M143" s="726" t="str">
        <f t="shared" si="32"/>
        <v/>
      </c>
      <c r="N143" s="726" t="str">
        <f t="shared" si="32"/>
        <v/>
      </c>
      <c r="O143" s="726" t="str">
        <f t="shared" si="32"/>
        <v/>
      </c>
      <c r="P143" s="726" t="str">
        <f t="shared" si="32"/>
        <v/>
      </c>
      <c r="Q143" s="726" t="str">
        <f t="shared" si="32"/>
        <v/>
      </c>
      <c r="R143" s="715"/>
      <c r="S143" s="715"/>
      <c r="T143" s="715"/>
      <c r="U143" s="690"/>
      <c r="V143" s="672"/>
      <c r="W143" s="673"/>
      <c r="X143" s="673"/>
      <c r="Y143" s="673"/>
      <c r="Z143" s="673"/>
      <c r="AA143" s="743"/>
      <c r="AB143" s="673"/>
      <c r="AC143" s="673"/>
      <c r="AD143" s="673"/>
      <c r="AE143" s="673"/>
      <c r="AF143" s="673"/>
      <c r="AG143" s="673"/>
      <c r="AH143" s="673"/>
      <c r="AI143" s="673"/>
      <c r="AJ143" s="673"/>
      <c r="AK143" s="673"/>
      <c r="AL143" s="673"/>
      <c r="AM143" s="673"/>
      <c r="AN143" s="674"/>
    </row>
    <row r="144" spans="1:40" ht="13.8" customHeight="1">
      <c r="A144" s="625"/>
      <c r="B144" s="715"/>
      <c r="C144" s="756"/>
      <c r="D144" s="756"/>
      <c r="E144" s="756"/>
      <c r="F144" s="756"/>
      <c r="G144" s="756"/>
      <c r="H144" s="756"/>
      <c r="I144" s="756"/>
      <c r="J144" s="756"/>
      <c r="K144" s="756"/>
      <c r="L144" s="756"/>
      <c r="M144" s="756"/>
      <c r="N144" s="756"/>
      <c r="O144" s="756"/>
      <c r="P144" s="756"/>
      <c r="Q144" s="756"/>
      <c r="R144" s="715"/>
      <c r="S144" s="715"/>
      <c r="T144" s="715"/>
      <c r="U144" s="757"/>
      <c r="V144" s="672"/>
      <c r="W144" s="673"/>
      <c r="X144" s="673"/>
      <c r="Y144" s="673"/>
      <c r="Z144" s="673"/>
      <c r="AA144" s="743"/>
      <c r="AB144" s="673"/>
      <c r="AC144" s="673"/>
      <c r="AD144" s="673"/>
      <c r="AE144" s="673"/>
      <c r="AF144" s="673"/>
      <c r="AG144" s="673"/>
      <c r="AH144" s="673"/>
      <c r="AI144" s="673"/>
      <c r="AJ144" s="673"/>
      <c r="AK144" s="673"/>
      <c r="AL144" s="673"/>
      <c r="AM144" s="673"/>
      <c r="AN144" s="674"/>
    </row>
    <row r="145" spans="1:40" ht="13.8" customHeight="1">
      <c r="A145" s="625"/>
      <c r="B145" s="740"/>
      <c r="C145" s="633"/>
      <c r="D145" s="633"/>
      <c r="E145" s="633"/>
      <c r="F145" s="633"/>
      <c r="G145" s="633"/>
      <c r="H145" s="633"/>
      <c r="I145" s="633"/>
      <c r="J145" s="633"/>
      <c r="K145" s="633"/>
      <c r="L145" s="633"/>
      <c r="M145" s="633"/>
      <c r="N145" s="633"/>
      <c r="O145" s="633"/>
      <c r="P145" s="633"/>
      <c r="Q145" s="633"/>
      <c r="R145" s="633"/>
      <c r="S145" s="633"/>
      <c r="T145" s="633"/>
      <c r="U145" s="633"/>
      <c r="V145" s="740"/>
      <c r="W145" s="633"/>
      <c r="X145" s="633"/>
      <c r="Y145" s="633"/>
      <c r="Z145" s="633"/>
      <c r="AA145" s="741"/>
      <c r="AB145" s="740"/>
      <c r="AC145" s="633"/>
      <c r="AD145" s="633"/>
      <c r="AE145" s="633"/>
      <c r="AF145" s="633"/>
      <c r="AG145" s="633"/>
      <c r="AH145" s="633"/>
      <c r="AI145" s="633"/>
      <c r="AJ145" s="633"/>
      <c r="AK145" s="633"/>
      <c r="AL145" s="633"/>
      <c r="AM145" s="633"/>
      <c r="AN145" s="634"/>
    </row>
    <row r="146" spans="1:40" s="763" customFormat="1" ht="13.8" customHeight="1">
      <c r="A146" s="765"/>
      <c r="B146" s="766"/>
      <c r="C146" s="767"/>
      <c r="D146" s="767"/>
      <c r="E146" s="767"/>
      <c r="F146" s="767"/>
      <c r="G146" s="767"/>
      <c r="H146" s="767"/>
      <c r="I146" s="767"/>
      <c r="J146" s="767"/>
      <c r="K146" s="767"/>
      <c r="L146" s="767"/>
      <c r="M146" s="767"/>
      <c r="N146" s="767"/>
      <c r="O146" s="767"/>
      <c r="P146" s="767"/>
      <c r="Q146" s="767"/>
      <c r="R146" s="768"/>
      <c r="S146" s="768"/>
      <c r="T146" s="768"/>
      <c r="U146" s="768"/>
      <c r="V146" s="762"/>
      <c r="AB146" s="763" t="s">
        <v>22</v>
      </c>
      <c r="AC146" s="763" t="s">
        <v>21</v>
      </c>
      <c r="AD146" s="763" t="s">
        <v>42</v>
      </c>
      <c r="AE146" s="763" t="s">
        <v>43</v>
      </c>
      <c r="AF146" s="763" t="s">
        <v>140</v>
      </c>
    </row>
    <row r="147" spans="1:40" s="763" customFormat="1" ht="13.8" customHeight="1">
      <c r="A147" s="767"/>
      <c r="B147" s="766"/>
      <c r="C147" s="768"/>
      <c r="D147" s="768"/>
      <c r="E147" s="768"/>
      <c r="F147" s="768"/>
      <c r="G147" s="768"/>
      <c r="H147" s="768"/>
      <c r="I147" s="768"/>
      <c r="J147" s="768"/>
      <c r="K147" s="768"/>
      <c r="L147" s="768"/>
      <c r="M147" s="768"/>
      <c r="N147" s="768"/>
      <c r="O147" s="768"/>
      <c r="P147" s="768"/>
      <c r="Q147" s="768"/>
      <c r="R147" s="768"/>
      <c r="S147" s="768"/>
      <c r="T147" s="768"/>
      <c r="U147" s="768"/>
      <c r="V147" s="762"/>
      <c r="AB147" s="763" t="s">
        <v>79</v>
      </c>
      <c r="AC147" s="763" t="s">
        <v>42</v>
      </c>
      <c r="AD147" s="763" t="s">
        <v>43</v>
      </c>
      <c r="AE147" s="763" t="s">
        <v>9</v>
      </c>
    </row>
    <row r="148" spans="1:40" ht="13.8" customHeight="1">
      <c r="B148" s="671"/>
      <c r="C148" s="645"/>
      <c r="D148" s="645"/>
      <c r="E148" s="645"/>
      <c r="F148" s="645"/>
      <c r="G148" s="645"/>
      <c r="H148" s="645"/>
      <c r="I148" s="645"/>
      <c r="J148" s="645"/>
      <c r="K148" s="645"/>
      <c r="L148" s="645"/>
      <c r="M148" s="645"/>
      <c r="N148" s="645"/>
      <c r="O148" s="645"/>
      <c r="P148" s="645"/>
      <c r="Q148" s="645"/>
      <c r="R148" s="645"/>
      <c r="S148" s="645"/>
      <c r="T148" s="645"/>
      <c r="U148" s="645"/>
      <c r="V148" s="672"/>
      <c r="W148" s="645"/>
      <c r="X148" s="645"/>
      <c r="Y148" s="645"/>
      <c r="Z148" s="645"/>
      <c r="AA148" s="460"/>
      <c r="AB148" s="672"/>
      <c r="AC148" s="645"/>
      <c r="AD148" s="645"/>
      <c r="AE148" s="645"/>
      <c r="AF148" s="645"/>
      <c r="AG148" s="645"/>
      <c r="AH148" s="645"/>
      <c r="AI148" s="645"/>
      <c r="AJ148" s="645"/>
      <c r="AK148" s="645"/>
      <c r="AL148" s="645"/>
      <c r="AM148" s="645"/>
      <c r="AN148" s="646"/>
    </row>
    <row r="149" spans="1:40" ht="13.8" customHeight="1">
      <c r="A149" s="890">
        <v>1</v>
      </c>
      <c r="B149" s="715" t="s">
        <v>77</v>
      </c>
      <c r="C149" s="717" t="s">
        <v>9</v>
      </c>
      <c r="D149" s="717" t="s">
        <v>78</v>
      </c>
      <c r="E149" s="717" t="s">
        <v>18</v>
      </c>
      <c r="F149" s="717" t="s">
        <v>42</v>
      </c>
      <c r="G149" s="717" t="s">
        <v>79</v>
      </c>
      <c r="H149" s="717" t="s">
        <v>21</v>
      </c>
      <c r="I149" s="717" t="s">
        <v>22</v>
      </c>
      <c r="J149" s="717" t="s">
        <v>23</v>
      </c>
      <c r="K149" s="717" t="s">
        <v>71</v>
      </c>
      <c r="L149" s="717" t="s">
        <v>43</v>
      </c>
      <c r="M149" s="717" t="s">
        <v>26</v>
      </c>
      <c r="N149" s="717" t="s">
        <v>139</v>
      </c>
      <c r="O149" s="717" t="s">
        <v>28</v>
      </c>
      <c r="P149" s="717" t="s">
        <v>138</v>
      </c>
      <c r="Q149" s="717" t="s">
        <v>30</v>
      </c>
      <c r="R149" s="717" t="s">
        <v>140</v>
      </c>
      <c r="S149" s="717" t="s">
        <v>32</v>
      </c>
      <c r="T149" s="717" t="s">
        <v>142</v>
      </c>
      <c r="U149" s="717" t="s">
        <v>34</v>
      </c>
      <c r="V149" s="717" t="s">
        <v>35</v>
      </c>
      <c r="W149" s="717" t="s">
        <v>36</v>
      </c>
      <c r="X149" s="717" t="s">
        <v>141</v>
      </c>
      <c r="Y149" s="827" t="s">
        <v>116</v>
      </c>
      <c r="Z149" s="717" t="s">
        <v>182</v>
      </c>
      <c r="AA149" s="827" t="s">
        <v>183</v>
      </c>
      <c r="AB149" s="717" t="s">
        <v>14</v>
      </c>
      <c r="AC149" s="717" t="s">
        <v>145</v>
      </c>
      <c r="AD149" s="717" t="s">
        <v>38</v>
      </c>
      <c r="AE149" s="717" t="s">
        <v>41</v>
      </c>
      <c r="AF149" s="717"/>
      <c r="AG149" s="717"/>
      <c r="AH149" s="717"/>
      <c r="AI149" s="717"/>
      <c r="AJ149" s="717"/>
      <c r="AK149" s="717"/>
      <c r="AL149" s="717"/>
      <c r="AM149" s="717"/>
      <c r="AN149" s="717"/>
    </row>
    <row r="150" spans="1:40" ht="13.8" customHeight="1">
      <c r="A150" s="690">
        <v>2</v>
      </c>
      <c r="B150" s="715"/>
      <c r="C150" s="717">
        <f>C218</f>
        <v>1</v>
      </c>
      <c r="D150" s="717">
        <f t="shared" ref="D150:AE150" si="33">D218</f>
        <v>1</v>
      </c>
      <c r="E150" s="717">
        <f t="shared" si="33"/>
        <v>1</v>
      </c>
      <c r="F150" s="717">
        <f t="shared" si="33"/>
        <v>1</v>
      </c>
      <c r="G150" s="717">
        <f t="shared" si="33"/>
        <v>1</v>
      </c>
      <c r="H150" s="717">
        <f t="shared" si="33"/>
        <v>1</v>
      </c>
      <c r="I150" s="717">
        <f t="shared" si="33"/>
        <v>1</v>
      </c>
      <c r="J150" s="717">
        <f t="shared" si="33"/>
        <v>1</v>
      </c>
      <c r="K150" s="717">
        <f t="shared" si="33"/>
        <v>1</v>
      </c>
      <c r="L150" s="717">
        <f t="shared" si="33"/>
        <v>1</v>
      </c>
      <c r="M150" s="717">
        <f t="shared" si="33"/>
        <v>1</v>
      </c>
      <c r="N150" s="717">
        <f t="shared" si="33"/>
        <v>1</v>
      </c>
      <c r="O150" s="717">
        <f t="shared" si="33"/>
        <v>1</v>
      </c>
      <c r="P150" s="717">
        <f t="shared" si="33"/>
        <v>1</v>
      </c>
      <c r="Q150" s="717">
        <f t="shared" si="33"/>
        <v>1</v>
      </c>
      <c r="R150" s="717">
        <f t="shared" si="33"/>
        <v>1</v>
      </c>
      <c r="S150" s="717">
        <f t="shared" si="33"/>
        <v>1</v>
      </c>
      <c r="T150" s="717">
        <f t="shared" si="33"/>
        <v>1</v>
      </c>
      <c r="U150" s="717">
        <f t="shared" si="33"/>
        <v>1</v>
      </c>
      <c r="V150" s="717">
        <f t="shared" si="33"/>
        <v>1</v>
      </c>
      <c r="W150" s="717">
        <f t="shared" si="33"/>
        <v>1</v>
      </c>
      <c r="X150" s="717">
        <f t="shared" si="33"/>
        <v>1</v>
      </c>
      <c r="Y150" s="717">
        <f t="shared" si="33"/>
        <v>1</v>
      </c>
      <c r="Z150" s="717">
        <f t="shared" si="33"/>
        <v>1</v>
      </c>
      <c r="AA150" s="717">
        <f t="shared" si="33"/>
        <v>1</v>
      </c>
      <c r="AB150" s="717">
        <f t="shared" si="33"/>
        <v>1</v>
      </c>
      <c r="AC150" s="717">
        <f t="shared" si="33"/>
        <v>1</v>
      </c>
      <c r="AD150" s="717">
        <f t="shared" si="33"/>
        <v>1</v>
      </c>
      <c r="AE150" s="717">
        <f t="shared" si="33"/>
        <v>1</v>
      </c>
      <c r="AF150" s="717"/>
      <c r="AG150" s="717"/>
      <c r="AH150" s="717"/>
      <c r="AI150" s="717"/>
      <c r="AJ150" s="717"/>
      <c r="AK150" s="717"/>
      <c r="AL150" s="717"/>
      <c r="AM150" s="717"/>
      <c r="AN150" s="717"/>
    </row>
    <row r="151" spans="1:40" ht="13.8" customHeight="1">
      <c r="A151" s="690">
        <v>3</v>
      </c>
      <c r="B151" s="715" t="s">
        <v>80</v>
      </c>
      <c r="C151" s="717" t="str">
        <f>IF((C219/100)=0,"",((C219/100)))</f>
        <v/>
      </c>
      <c r="D151" s="717">
        <f t="shared" ref="D151:AE160" si="34">IF((D219/100)=0,"",((D219/100)))</f>
        <v>0.18</v>
      </c>
      <c r="E151" s="717" t="str">
        <f t="shared" si="34"/>
        <v/>
      </c>
      <c r="F151" s="717">
        <f t="shared" si="34"/>
        <v>0.11</v>
      </c>
      <c r="G151" s="717">
        <f t="shared" si="34"/>
        <v>0.46</v>
      </c>
      <c r="H151" s="717">
        <f t="shared" si="34"/>
        <v>0.21</v>
      </c>
      <c r="I151" s="717">
        <f t="shared" si="34"/>
        <v>0.34</v>
      </c>
      <c r="J151" s="717">
        <f t="shared" si="34"/>
        <v>0.27</v>
      </c>
      <c r="K151" s="717" t="str">
        <f t="shared" si="34"/>
        <v/>
      </c>
      <c r="L151" s="717" t="str">
        <f t="shared" si="34"/>
        <v/>
      </c>
      <c r="M151" s="717" t="str">
        <f t="shared" si="34"/>
        <v/>
      </c>
      <c r="N151" s="717">
        <f t="shared" si="34"/>
        <v>0.82</v>
      </c>
      <c r="O151" s="717" t="str">
        <f t="shared" si="34"/>
        <v/>
      </c>
      <c r="P151" s="717" t="str">
        <f t="shared" si="34"/>
        <v/>
      </c>
      <c r="Q151" s="717" t="str">
        <f t="shared" si="34"/>
        <v/>
      </c>
      <c r="R151" s="717" t="str">
        <f t="shared" si="34"/>
        <v/>
      </c>
      <c r="S151" s="717" t="str">
        <f t="shared" si="34"/>
        <v/>
      </c>
      <c r="T151" s="717">
        <f t="shared" si="34"/>
        <v>0.26</v>
      </c>
      <c r="U151" s="717">
        <f t="shared" si="34"/>
        <v>0.13</v>
      </c>
      <c r="V151" s="717" t="str">
        <f t="shared" si="34"/>
        <v/>
      </c>
      <c r="W151" s="717" t="str">
        <f t="shared" si="34"/>
        <v/>
      </c>
      <c r="X151" s="717" t="str">
        <f t="shared" si="34"/>
        <v/>
      </c>
      <c r="Y151" s="717" t="str">
        <f t="shared" si="34"/>
        <v/>
      </c>
      <c r="Z151" s="717" t="str">
        <f t="shared" si="34"/>
        <v/>
      </c>
      <c r="AA151" s="717" t="str">
        <f t="shared" si="34"/>
        <v/>
      </c>
      <c r="AB151" s="717" t="str">
        <f t="shared" si="34"/>
        <v/>
      </c>
      <c r="AC151" s="717" t="str">
        <f t="shared" si="34"/>
        <v/>
      </c>
      <c r="AD151" s="717" t="str">
        <f t="shared" si="34"/>
        <v/>
      </c>
      <c r="AE151" s="717" t="str">
        <f t="shared" si="34"/>
        <v/>
      </c>
      <c r="AF151" s="717" t="str">
        <f t="shared" ref="AF151:AN157" si="35">IF((AF219/100)*1000=0,"",((AF219/100)*1000))</f>
        <v/>
      </c>
      <c r="AG151" s="717" t="str">
        <f t="shared" si="35"/>
        <v/>
      </c>
      <c r="AH151" s="717" t="str">
        <f t="shared" si="35"/>
        <v/>
      </c>
      <c r="AI151" s="717" t="str">
        <f t="shared" si="35"/>
        <v/>
      </c>
      <c r="AJ151" s="717" t="str">
        <f t="shared" si="35"/>
        <v/>
      </c>
      <c r="AK151" s="717" t="str">
        <f t="shared" si="35"/>
        <v/>
      </c>
      <c r="AL151" s="717" t="str">
        <f t="shared" si="35"/>
        <v/>
      </c>
      <c r="AM151" s="717" t="str">
        <f t="shared" si="35"/>
        <v/>
      </c>
      <c r="AN151" s="717" t="str">
        <f t="shared" si="35"/>
        <v/>
      </c>
    </row>
    <row r="152" spans="1:40" ht="13.8" customHeight="1">
      <c r="A152" s="690">
        <v>4</v>
      </c>
      <c r="B152" s="715" t="s">
        <v>81</v>
      </c>
      <c r="C152" s="717" t="str">
        <f t="shared" ref="C152:R161" si="36">IF((C220/100)=0,"",((C220/100)))</f>
        <v/>
      </c>
      <c r="D152" s="717">
        <f t="shared" si="36"/>
        <v>0.46</v>
      </c>
      <c r="E152" s="717" t="str">
        <f t="shared" si="36"/>
        <v/>
      </c>
      <c r="F152" s="717">
        <f t="shared" si="36"/>
        <v>0.52</v>
      </c>
      <c r="G152" s="717" t="str">
        <f t="shared" si="36"/>
        <v/>
      </c>
      <c r="H152" s="717" t="str">
        <f t="shared" si="36"/>
        <v/>
      </c>
      <c r="I152" s="717" t="str">
        <f t="shared" si="36"/>
        <v/>
      </c>
      <c r="J152" s="717" t="str">
        <f t="shared" si="36"/>
        <v/>
      </c>
      <c r="K152" s="717" t="str">
        <f t="shared" si="36"/>
        <v/>
      </c>
      <c r="L152" s="717" t="str">
        <f t="shared" si="36"/>
        <v/>
      </c>
      <c r="M152" s="717" t="str">
        <f t="shared" si="36"/>
        <v/>
      </c>
      <c r="N152" s="717" t="str">
        <f t="shared" si="36"/>
        <v/>
      </c>
      <c r="O152" s="717">
        <f t="shared" si="36"/>
        <v>0.46</v>
      </c>
      <c r="P152" s="717">
        <f t="shared" si="36"/>
        <v>0.28000000000000003</v>
      </c>
      <c r="Q152" s="717" t="str">
        <f t="shared" si="36"/>
        <v/>
      </c>
      <c r="R152" s="717" t="str">
        <f t="shared" si="36"/>
        <v/>
      </c>
      <c r="S152" s="717">
        <f t="shared" si="34"/>
        <v>0.18</v>
      </c>
      <c r="T152" s="717" t="str">
        <f t="shared" si="34"/>
        <v/>
      </c>
      <c r="U152" s="717" t="str">
        <f t="shared" si="34"/>
        <v/>
      </c>
      <c r="V152" s="717" t="str">
        <f t="shared" si="34"/>
        <v/>
      </c>
      <c r="W152" s="717" t="str">
        <f t="shared" si="34"/>
        <v/>
      </c>
      <c r="X152" s="717">
        <f t="shared" si="34"/>
        <v>0.54</v>
      </c>
      <c r="Y152" s="717">
        <f t="shared" si="34"/>
        <v>0.28000000000000003</v>
      </c>
      <c r="Z152" s="717" t="str">
        <f t="shared" si="34"/>
        <v/>
      </c>
      <c r="AA152" s="717" t="str">
        <f t="shared" si="34"/>
        <v/>
      </c>
      <c r="AB152" s="717" t="str">
        <f t="shared" si="34"/>
        <v/>
      </c>
      <c r="AC152" s="717" t="str">
        <f t="shared" si="34"/>
        <v/>
      </c>
      <c r="AD152" s="717" t="str">
        <f t="shared" si="34"/>
        <v/>
      </c>
      <c r="AE152" s="717" t="str">
        <f t="shared" si="34"/>
        <v/>
      </c>
      <c r="AF152" s="717" t="str">
        <f t="shared" si="35"/>
        <v/>
      </c>
      <c r="AG152" s="717" t="str">
        <f t="shared" si="35"/>
        <v/>
      </c>
      <c r="AH152" s="717" t="str">
        <f t="shared" si="35"/>
        <v/>
      </c>
      <c r="AI152" s="717" t="str">
        <f t="shared" si="35"/>
        <v/>
      </c>
      <c r="AJ152" s="717" t="str">
        <f t="shared" si="35"/>
        <v/>
      </c>
      <c r="AK152" s="717" t="str">
        <f t="shared" si="35"/>
        <v/>
      </c>
      <c r="AL152" s="717" t="str">
        <f t="shared" si="35"/>
        <v/>
      </c>
      <c r="AM152" s="717" t="str">
        <f t="shared" si="35"/>
        <v/>
      </c>
      <c r="AN152" s="717" t="str">
        <f t="shared" si="35"/>
        <v/>
      </c>
    </row>
    <row r="153" spans="1:40" ht="13.8" customHeight="1">
      <c r="A153" s="690">
        <v>5</v>
      </c>
      <c r="B153" s="715" t="s">
        <v>82</v>
      </c>
      <c r="C153" s="912">
        <f t="shared" si="36"/>
        <v>0.14060984003516078</v>
      </c>
      <c r="D153" s="717" t="str">
        <f t="shared" si="34"/>
        <v/>
      </c>
      <c r="E153" s="717">
        <f t="shared" si="34"/>
        <v>0.221</v>
      </c>
      <c r="F153" s="717" t="str">
        <f t="shared" si="34"/>
        <v/>
      </c>
      <c r="G153" s="717" t="str">
        <f t="shared" si="34"/>
        <v/>
      </c>
      <c r="H153" s="717" t="str">
        <f t="shared" si="34"/>
        <v/>
      </c>
      <c r="I153" s="717" t="str">
        <f t="shared" si="34"/>
        <v/>
      </c>
      <c r="J153" s="717" t="str">
        <f t="shared" si="34"/>
        <v/>
      </c>
      <c r="K153" s="717">
        <f t="shared" si="34"/>
        <v>0.5</v>
      </c>
      <c r="L153" s="717">
        <f t="shared" si="34"/>
        <v>0.6</v>
      </c>
      <c r="M153" s="717" t="str">
        <f t="shared" si="34"/>
        <v/>
      </c>
      <c r="N153" s="717" t="str">
        <f t="shared" si="34"/>
        <v/>
      </c>
      <c r="O153" s="717" t="str">
        <f t="shared" si="34"/>
        <v/>
      </c>
      <c r="P153" s="717" t="str">
        <f t="shared" si="34"/>
        <v/>
      </c>
      <c r="Q153" s="717">
        <f t="shared" si="34"/>
        <v>0.22</v>
      </c>
      <c r="R153" s="717" t="str">
        <f t="shared" si="34"/>
        <v/>
      </c>
      <c r="S153" s="717" t="str">
        <f t="shared" si="34"/>
        <v/>
      </c>
      <c r="T153" s="717" t="str">
        <f t="shared" si="34"/>
        <v/>
      </c>
      <c r="U153" s="717">
        <f t="shared" si="34"/>
        <v>0.44</v>
      </c>
      <c r="V153" s="717" t="str">
        <f t="shared" si="34"/>
        <v/>
      </c>
      <c r="W153" s="717" t="str">
        <f t="shared" si="34"/>
        <v/>
      </c>
      <c r="X153" s="717" t="str">
        <f t="shared" si="34"/>
        <v/>
      </c>
      <c r="Y153" s="717" t="str">
        <f t="shared" si="34"/>
        <v/>
      </c>
      <c r="Z153" s="717">
        <f t="shared" si="34"/>
        <v>0.4</v>
      </c>
      <c r="AA153" s="717">
        <f t="shared" si="34"/>
        <v>0.3</v>
      </c>
      <c r="AB153" s="717" t="str">
        <f t="shared" si="34"/>
        <v/>
      </c>
      <c r="AC153" s="717" t="str">
        <f t="shared" si="34"/>
        <v/>
      </c>
      <c r="AD153" s="717" t="str">
        <f t="shared" si="34"/>
        <v/>
      </c>
      <c r="AE153" s="717" t="str">
        <f t="shared" si="34"/>
        <v/>
      </c>
      <c r="AF153" s="717" t="str">
        <f t="shared" si="35"/>
        <v/>
      </c>
      <c r="AG153" s="717" t="str">
        <f t="shared" si="35"/>
        <v/>
      </c>
      <c r="AH153" s="717" t="str">
        <f t="shared" si="35"/>
        <v/>
      </c>
      <c r="AI153" s="717" t="str">
        <f t="shared" si="35"/>
        <v/>
      </c>
      <c r="AJ153" s="717" t="str">
        <f t="shared" si="35"/>
        <v/>
      </c>
      <c r="AK153" s="717" t="str">
        <f t="shared" si="35"/>
        <v/>
      </c>
      <c r="AL153" s="717" t="str">
        <f t="shared" si="35"/>
        <v/>
      </c>
      <c r="AM153" s="717" t="str">
        <f t="shared" si="35"/>
        <v/>
      </c>
      <c r="AN153" s="717" t="str">
        <f t="shared" si="35"/>
        <v/>
      </c>
    </row>
    <row r="154" spans="1:40" ht="13.8" customHeight="1">
      <c r="A154" s="690">
        <v>6</v>
      </c>
      <c r="B154" s="715" t="s">
        <v>83</v>
      </c>
      <c r="C154" s="912">
        <f t="shared" si="36"/>
        <v>0.19145626881390515</v>
      </c>
      <c r="D154" s="717" t="str">
        <f t="shared" si="34"/>
        <v/>
      </c>
      <c r="E154" s="717">
        <f t="shared" si="34"/>
        <v>0.22500000000000001</v>
      </c>
      <c r="F154" s="717" t="str">
        <f t="shared" si="34"/>
        <v/>
      </c>
      <c r="G154" s="717" t="str">
        <f t="shared" si="34"/>
        <v/>
      </c>
      <c r="H154" s="717">
        <f t="shared" si="34"/>
        <v>0.24</v>
      </c>
      <c r="I154" s="717" t="str">
        <f t="shared" si="34"/>
        <v/>
      </c>
      <c r="J154" s="717" t="str">
        <f t="shared" si="34"/>
        <v/>
      </c>
      <c r="K154" s="717">
        <f t="shared" si="34"/>
        <v>0.18</v>
      </c>
      <c r="L154" s="717" t="str">
        <f t="shared" si="34"/>
        <v/>
      </c>
      <c r="M154" s="717">
        <f t="shared" si="34"/>
        <v>0.22</v>
      </c>
      <c r="N154" s="717" t="str">
        <f t="shared" si="34"/>
        <v/>
      </c>
      <c r="O154" s="717" t="str">
        <f t="shared" si="34"/>
        <v/>
      </c>
      <c r="P154" s="717" t="str">
        <f t="shared" si="34"/>
        <v/>
      </c>
      <c r="Q154" s="717">
        <f t="shared" si="34"/>
        <v>0.18</v>
      </c>
      <c r="R154" s="717">
        <f t="shared" si="34"/>
        <v>0.2</v>
      </c>
      <c r="S154" s="717">
        <f t="shared" si="34"/>
        <v>0.11</v>
      </c>
      <c r="T154" s="717" t="str">
        <f t="shared" si="34"/>
        <v/>
      </c>
      <c r="U154" s="717" t="str">
        <f t="shared" si="34"/>
        <v/>
      </c>
      <c r="V154" s="717" t="str">
        <f t="shared" si="34"/>
        <v/>
      </c>
      <c r="W154" s="717" t="str">
        <f t="shared" si="34"/>
        <v/>
      </c>
      <c r="X154" s="717" t="str">
        <f t="shared" si="34"/>
        <v/>
      </c>
      <c r="Y154" s="717" t="str">
        <f t="shared" si="34"/>
        <v/>
      </c>
      <c r="Z154" s="717">
        <f t="shared" si="34"/>
        <v>4.8000000000000001E-2</v>
      </c>
      <c r="AA154" s="717">
        <f t="shared" si="34"/>
        <v>0.16800000000000001</v>
      </c>
      <c r="AB154" s="717" t="str">
        <f t="shared" si="34"/>
        <v/>
      </c>
      <c r="AC154" s="717" t="str">
        <f t="shared" si="34"/>
        <v/>
      </c>
      <c r="AD154" s="717" t="str">
        <f t="shared" si="34"/>
        <v/>
      </c>
      <c r="AE154" s="717" t="str">
        <f t="shared" si="34"/>
        <v/>
      </c>
      <c r="AF154" s="717" t="str">
        <f t="shared" si="35"/>
        <v/>
      </c>
      <c r="AG154" s="717" t="str">
        <f t="shared" si="35"/>
        <v/>
      </c>
      <c r="AH154" s="717" t="str">
        <f t="shared" si="35"/>
        <v/>
      </c>
      <c r="AI154" s="717" t="str">
        <f t="shared" si="35"/>
        <v/>
      </c>
      <c r="AJ154" s="717" t="str">
        <f t="shared" si="35"/>
        <v/>
      </c>
      <c r="AK154" s="717" t="str">
        <f t="shared" si="35"/>
        <v/>
      </c>
      <c r="AL154" s="717" t="str">
        <f t="shared" si="35"/>
        <v/>
      </c>
      <c r="AM154" s="717" t="str">
        <f t="shared" si="35"/>
        <v/>
      </c>
      <c r="AN154" s="717" t="str">
        <f t="shared" si="35"/>
        <v/>
      </c>
    </row>
    <row r="155" spans="1:40" ht="13.8" customHeight="1">
      <c r="A155" s="690">
        <v>7</v>
      </c>
      <c r="B155" s="715" t="s">
        <v>11</v>
      </c>
      <c r="C155" s="912">
        <f t="shared" si="36"/>
        <v>6.0161308245362352E-2</v>
      </c>
      <c r="D155" s="717" t="str">
        <f t="shared" si="34"/>
        <v/>
      </c>
      <c r="E155" s="717">
        <f t="shared" si="34"/>
        <v>0.17899999999999999</v>
      </c>
      <c r="F155" s="717" t="str">
        <f t="shared" si="34"/>
        <v/>
      </c>
      <c r="G155" s="717" t="str">
        <f t="shared" si="34"/>
        <v/>
      </c>
      <c r="H155" s="717" t="str">
        <f t="shared" si="34"/>
        <v/>
      </c>
      <c r="I155" s="717" t="str">
        <f t="shared" si="34"/>
        <v/>
      </c>
      <c r="J155" s="717" t="str">
        <f t="shared" si="34"/>
        <v/>
      </c>
      <c r="K155" s="717" t="str">
        <f t="shared" si="34"/>
        <v/>
      </c>
      <c r="L155" s="717" t="str">
        <f t="shared" si="34"/>
        <v/>
      </c>
      <c r="M155" s="717" t="str">
        <f t="shared" si="34"/>
        <v/>
      </c>
      <c r="N155" s="717" t="str">
        <f t="shared" si="34"/>
        <v/>
      </c>
      <c r="O155" s="717" t="str">
        <f t="shared" si="34"/>
        <v/>
      </c>
      <c r="P155" s="717" t="str">
        <f t="shared" si="34"/>
        <v/>
      </c>
      <c r="Q155" s="717">
        <f t="shared" si="34"/>
        <v>0.18</v>
      </c>
      <c r="R155" s="717">
        <f t="shared" si="34"/>
        <v>0.25</v>
      </c>
      <c r="S155" s="717" t="str">
        <f t="shared" si="34"/>
        <v/>
      </c>
      <c r="T155" s="717" t="str">
        <f t="shared" si="34"/>
        <v/>
      </c>
      <c r="U155" s="717" t="str">
        <f t="shared" si="34"/>
        <v/>
      </c>
      <c r="V155" s="717">
        <f t="shared" si="34"/>
        <v>0.21579999999999999</v>
      </c>
      <c r="W155" s="717">
        <f t="shared" si="34"/>
        <v>0.03</v>
      </c>
      <c r="X155" s="717" t="str">
        <f t="shared" si="34"/>
        <v/>
      </c>
      <c r="Y155" s="717" t="str">
        <f t="shared" si="34"/>
        <v/>
      </c>
      <c r="Z155" s="717">
        <f t="shared" si="34"/>
        <v>0.06</v>
      </c>
      <c r="AA155" s="717">
        <f t="shared" si="34"/>
        <v>0.1</v>
      </c>
      <c r="AB155" s="717" t="str">
        <f t="shared" si="34"/>
        <v/>
      </c>
      <c r="AC155" s="717" t="str">
        <f t="shared" si="34"/>
        <v/>
      </c>
      <c r="AD155" s="717" t="str">
        <f t="shared" si="34"/>
        <v/>
      </c>
      <c r="AE155" s="717" t="str">
        <f t="shared" si="34"/>
        <v/>
      </c>
      <c r="AF155" s="717" t="str">
        <f t="shared" si="35"/>
        <v/>
      </c>
      <c r="AG155" s="717" t="str">
        <f t="shared" si="35"/>
        <v/>
      </c>
      <c r="AH155" s="717" t="str">
        <f t="shared" si="35"/>
        <v/>
      </c>
      <c r="AI155" s="717" t="str">
        <f t="shared" si="35"/>
        <v/>
      </c>
      <c r="AJ155" s="717" t="str">
        <f t="shared" si="35"/>
        <v/>
      </c>
      <c r="AK155" s="717" t="str">
        <f t="shared" si="35"/>
        <v/>
      </c>
      <c r="AL155" s="717" t="str">
        <f t="shared" si="35"/>
        <v/>
      </c>
      <c r="AM155" s="717" t="str">
        <f t="shared" si="35"/>
        <v/>
      </c>
      <c r="AN155" s="717" t="str">
        <f t="shared" si="35"/>
        <v/>
      </c>
    </row>
    <row r="156" spans="1:40" ht="13.8" customHeight="1">
      <c r="A156" s="690">
        <v>8</v>
      </c>
      <c r="B156" s="715" t="s">
        <v>12</v>
      </c>
      <c r="C156" s="912">
        <f t="shared" si="36"/>
        <v>0.16741049349443154</v>
      </c>
      <c r="D156" s="717" t="str">
        <f t="shared" si="34"/>
        <v/>
      </c>
      <c r="E156" s="717" t="str">
        <f t="shared" si="34"/>
        <v/>
      </c>
      <c r="F156" s="717" t="str">
        <f t="shared" si="34"/>
        <v/>
      </c>
      <c r="G156" s="717" t="str">
        <f t="shared" si="34"/>
        <v/>
      </c>
      <c r="H156" s="717" t="str">
        <f t="shared" si="34"/>
        <v/>
      </c>
      <c r="I156" s="717" t="str">
        <f t="shared" si="34"/>
        <v/>
      </c>
      <c r="J156" s="717">
        <f t="shared" si="34"/>
        <v>0.22</v>
      </c>
      <c r="K156" s="717" t="str">
        <f t="shared" si="34"/>
        <v/>
      </c>
      <c r="L156" s="717" t="str">
        <f t="shared" si="34"/>
        <v/>
      </c>
      <c r="M156" s="717">
        <f t="shared" si="34"/>
        <v>0.33</v>
      </c>
      <c r="N156" s="717" t="str">
        <f t="shared" si="34"/>
        <v/>
      </c>
      <c r="O156" s="717">
        <f t="shared" si="34"/>
        <v>0.2</v>
      </c>
      <c r="P156" s="717" t="str">
        <f t="shared" si="34"/>
        <v/>
      </c>
      <c r="Q156" s="717" t="str">
        <f t="shared" si="34"/>
        <v/>
      </c>
      <c r="R156" s="717" t="str">
        <f t="shared" si="34"/>
        <v/>
      </c>
      <c r="S156" s="717">
        <f t="shared" si="34"/>
        <v>0.28000000000000003</v>
      </c>
      <c r="T156" s="717" t="str">
        <f t="shared" si="34"/>
        <v/>
      </c>
      <c r="U156" s="717" t="str">
        <f t="shared" si="34"/>
        <v/>
      </c>
      <c r="V156" s="717">
        <f t="shared" si="34"/>
        <v>0.308</v>
      </c>
      <c r="W156" s="717">
        <f t="shared" si="34"/>
        <v>0.52</v>
      </c>
      <c r="X156" s="717" t="str">
        <f t="shared" si="34"/>
        <v/>
      </c>
      <c r="Y156" s="717" t="str">
        <f t="shared" si="34"/>
        <v/>
      </c>
      <c r="Z156" s="717" t="str">
        <f t="shared" si="34"/>
        <v/>
      </c>
      <c r="AA156" s="717" t="str">
        <f t="shared" si="34"/>
        <v/>
      </c>
      <c r="AB156" s="717" t="str">
        <f t="shared" si="34"/>
        <v/>
      </c>
      <c r="AC156" s="717" t="str">
        <f t="shared" si="34"/>
        <v/>
      </c>
      <c r="AD156" s="717" t="str">
        <f t="shared" si="34"/>
        <v/>
      </c>
      <c r="AE156" s="717" t="str">
        <f t="shared" si="34"/>
        <v/>
      </c>
      <c r="AF156" s="717" t="str">
        <f t="shared" si="35"/>
        <v/>
      </c>
      <c r="AG156" s="717" t="str">
        <f t="shared" si="35"/>
        <v/>
      </c>
      <c r="AH156" s="717" t="str">
        <f t="shared" si="35"/>
        <v/>
      </c>
      <c r="AI156" s="717" t="str">
        <f t="shared" si="35"/>
        <v/>
      </c>
      <c r="AJ156" s="717" t="str">
        <f t="shared" si="35"/>
        <v/>
      </c>
      <c r="AK156" s="717" t="str">
        <f t="shared" si="35"/>
        <v/>
      </c>
      <c r="AL156" s="717" t="str">
        <f t="shared" si="35"/>
        <v/>
      </c>
      <c r="AM156" s="717" t="str">
        <f t="shared" si="35"/>
        <v/>
      </c>
      <c r="AN156" s="717" t="str">
        <f t="shared" si="35"/>
        <v/>
      </c>
    </row>
    <row r="157" spans="1:40" ht="13.8" customHeight="1">
      <c r="A157" s="690">
        <v>9</v>
      </c>
      <c r="B157" s="715" t="s">
        <v>13</v>
      </c>
      <c r="C157" s="912">
        <f t="shared" si="36"/>
        <v>0.02</v>
      </c>
      <c r="D157" s="717" t="str">
        <f t="shared" si="34"/>
        <v/>
      </c>
      <c r="E157" s="717" t="str">
        <f t="shared" si="34"/>
        <v/>
      </c>
      <c r="F157" s="717" t="str">
        <f t="shared" si="34"/>
        <v/>
      </c>
      <c r="G157" s="717" t="str">
        <f t="shared" si="34"/>
        <v/>
      </c>
      <c r="H157" s="717" t="str">
        <f t="shared" si="34"/>
        <v/>
      </c>
      <c r="I157" s="717" t="str">
        <f t="shared" si="34"/>
        <v/>
      </c>
      <c r="J157" s="717" t="str">
        <f t="shared" si="34"/>
        <v/>
      </c>
      <c r="K157" s="717">
        <f t="shared" si="34"/>
        <v>0.02</v>
      </c>
      <c r="L157" s="717">
        <f t="shared" si="34"/>
        <v>0.48</v>
      </c>
      <c r="M157" s="717" t="str">
        <f t="shared" si="34"/>
        <v/>
      </c>
      <c r="N157" s="717" t="str">
        <f t="shared" si="34"/>
        <v/>
      </c>
      <c r="O157" s="717" t="str">
        <f t="shared" si="34"/>
        <v/>
      </c>
      <c r="P157" s="717" t="str">
        <f t="shared" si="34"/>
        <v/>
      </c>
      <c r="Q157" s="717" t="str">
        <f t="shared" si="34"/>
        <v/>
      </c>
      <c r="R157" s="717" t="str">
        <f t="shared" si="34"/>
        <v/>
      </c>
      <c r="S157" s="717" t="str">
        <f t="shared" si="34"/>
        <v/>
      </c>
      <c r="T157" s="717">
        <f t="shared" si="34"/>
        <v>0.66</v>
      </c>
      <c r="U157" s="717" t="str">
        <f t="shared" si="34"/>
        <v/>
      </c>
      <c r="V157" s="717" t="str">
        <f t="shared" si="34"/>
        <v/>
      </c>
      <c r="W157" s="717" t="str">
        <f t="shared" si="34"/>
        <v/>
      </c>
      <c r="X157" s="717" t="str">
        <f t="shared" si="34"/>
        <v/>
      </c>
      <c r="Y157" s="717" t="str">
        <f t="shared" si="34"/>
        <v/>
      </c>
      <c r="Z157" s="717">
        <f t="shared" si="34"/>
        <v>0.28800000000000003</v>
      </c>
      <c r="AA157" s="717">
        <f t="shared" si="34"/>
        <v>5.0000000000000001E-3</v>
      </c>
      <c r="AB157" s="717" t="str">
        <f t="shared" si="34"/>
        <v/>
      </c>
      <c r="AC157" s="717" t="str">
        <f t="shared" si="34"/>
        <v/>
      </c>
      <c r="AD157" s="717" t="str">
        <f t="shared" si="34"/>
        <v/>
      </c>
      <c r="AE157" s="717" t="str">
        <f t="shared" si="34"/>
        <v/>
      </c>
      <c r="AF157" s="717" t="str">
        <f t="shared" si="35"/>
        <v/>
      </c>
      <c r="AG157" s="717" t="str">
        <f t="shared" si="35"/>
        <v/>
      </c>
      <c r="AH157" s="717" t="str">
        <f t="shared" si="35"/>
        <v/>
      </c>
      <c r="AI157" s="717" t="str">
        <f t="shared" si="35"/>
        <v/>
      </c>
      <c r="AJ157" s="717" t="str">
        <f t="shared" si="35"/>
        <v/>
      </c>
      <c r="AK157" s="717" t="str">
        <f t="shared" si="35"/>
        <v/>
      </c>
      <c r="AL157" s="717" t="str">
        <f t="shared" si="35"/>
        <v/>
      </c>
      <c r="AM157" s="717" t="str">
        <f t="shared" si="35"/>
        <v/>
      </c>
      <c r="AN157" s="717" t="str">
        <f t="shared" si="35"/>
        <v/>
      </c>
    </row>
    <row r="158" spans="1:40" ht="13.8" customHeight="1">
      <c r="A158" s="690">
        <v>10</v>
      </c>
      <c r="B158" s="715" t="s">
        <v>14</v>
      </c>
      <c r="C158" s="717" t="str">
        <f t="shared" si="36"/>
        <v/>
      </c>
      <c r="D158" s="717" t="str">
        <f t="shared" si="34"/>
        <v/>
      </c>
      <c r="E158" s="717" t="str">
        <f t="shared" si="34"/>
        <v/>
      </c>
      <c r="F158" s="717" t="str">
        <f t="shared" si="34"/>
        <v/>
      </c>
      <c r="G158" s="717" t="str">
        <f t="shared" si="34"/>
        <v/>
      </c>
      <c r="H158" s="717" t="str">
        <f t="shared" si="34"/>
        <v/>
      </c>
      <c r="I158" s="717" t="str">
        <f t="shared" si="34"/>
        <v/>
      </c>
      <c r="J158" s="717" t="str">
        <f t="shared" si="34"/>
        <v/>
      </c>
      <c r="K158" s="717" t="str">
        <f t="shared" si="34"/>
        <v/>
      </c>
      <c r="L158" s="717" t="str">
        <f t="shared" si="34"/>
        <v/>
      </c>
      <c r="M158" s="717" t="str">
        <f t="shared" si="34"/>
        <v/>
      </c>
      <c r="N158" s="717" t="str">
        <f t="shared" si="34"/>
        <v/>
      </c>
      <c r="O158" s="717" t="str">
        <f t="shared" si="34"/>
        <v/>
      </c>
      <c r="P158" s="717" t="str">
        <f t="shared" si="34"/>
        <v/>
      </c>
      <c r="Q158" s="717" t="str">
        <f t="shared" si="34"/>
        <v/>
      </c>
      <c r="R158" s="717" t="str">
        <f t="shared" si="34"/>
        <v/>
      </c>
      <c r="S158" s="717" t="str">
        <f t="shared" si="34"/>
        <v/>
      </c>
      <c r="T158" s="717" t="str">
        <f t="shared" si="34"/>
        <v/>
      </c>
      <c r="U158" s="717" t="str">
        <f t="shared" si="34"/>
        <v/>
      </c>
      <c r="V158" s="717" t="str">
        <f t="shared" si="34"/>
        <v/>
      </c>
      <c r="W158" s="717" t="str">
        <f t="shared" si="34"/>
        <v/>
      </c>
      <c r="X158" s="717" t="str">
        <f t="shared" si="34"/>
        <v/>
      </c>
      <c r="Y158" s="717" t="str">
        <f t="shared" si="34"/>
        <v/>
      </c>
      <c r="Z158" s="717" t="str">
        <f t="shared" si="34"/>
        <v/>
      </c>
      <c r="AA158" s="717" t="str">
        <f t="shared" si="34"/>
        <v/>
      </c>
      <c r="AB158" s="717">
        <f t="shared" si="34"/>
        <v>0.5</v>
      </c>
      <c r="AC158" s="717" t="str">
        <f t="shared" si="34"/>
        <v/>
      </c>
      <c r="AD158" s="717" t="str">
        <f t="shared" si="34"/>
        <v/>
      </c>
      <c r="AE158" s="717" t="str">
        <f t="shared" si="34"/>
        <v/>
      </c>
      <c r="AF158" s="717" t="str">
        <f t="shared" ref="AF158:AN161" si="37">IF((AF226/100)*1000=0,"",((AF226/100)*1000))</f>
        <v/>
      </c>
      <c r="AG158" s="717" t="str">
        <f t="shared" si="37"/>
        <v/>
      </c>
      <c r="AH158" s="717" t="str">
        <f t="shared" si="37"/>
        <v/>
      </c>
      <c r="AI158" s="717" t="str">
        <f t="shared" si="37"/>
        <v/>
      </c>
      <c r="AJ158" s="717" t="str">
        <f t="shared" si="37"/>
        <v/>
      </c>
      <c r="AK158" s="717" t="str">
        <f t="shared" si="37"/>
        <v/>
      </c>
      <c r="AL158" s="717" t="str">
        <f t="shared" si="37"/>
        <v/>
      </c>
      <c r="AM158" s="717" t="str">
        <f t="shared" si="37"/>
        <v/>
      </c>
      <c r="AN158" s="717" t="str">
        <f t="shared" si="37"/>
        <v/>
      </c>
    </row>
    <row r="159" spans="1:40" ht="13.8" customHeight="1">
      <c r="A159" s="690">
        <v>11</v>
      </c>
      <c r="B159" s="715" t="s">
        <v>38</v>
      </c>
      <c r="C159" s="717" t="str">
        <f t="shared" si="36"/>
        <v/>
      </c>
      <c r="D159" s="717" t="str">
        <f t="shared" si="34"/>
        <v/>
      </c>
      <c r="E159" s="717" t="str">
        <f t="shared" si="34"/>
        <v/>
      </c>
      <c r="F159" s="717" t="str">
        <f t="shared" si="34"/>
        <v/>
      </c>
      <c r="G159" s="717" t="str">
        <f t="shared" si="34"/>
        <v/>
      </c>
      <c r="H159" s="717" t="str">
        <f t="shared" si="34"/>
        <v/>
      </c>
      <c r="I159" s="717" t="str">
        <f t="shared" si="34"/>
        <v/>
      </c>
      <c r="J159" s="717" t="str">
        <f t="shared" si="34"/>
        <v/>
      </c>
      <c r="K159" s="717" t="str">
        <f t="shared" si="34"/>
        <v/>
      </c>
      <c r="L159" s="717" t="str">
        <f t="shared" si="34"/>
        <v/>
      </c>
      <c r="M159" s="717" t="str">
        <f t="shared" si="34"/>
        <v/>
      </c>
      <c r="N159" s="717" t="str">
        <f t="shared" si="34"/>
        <v/>
      </c>
      <c r="O159" s="717" t="str">
        <f t="shared" si="34"/>
        <v/>
      </c>
      <c r="P159" s="717" t="str">
        <f t="shared" si="34"/>
        <v/>
      </c>
      <c r="Q159" s="717" t="str">
        <f t="shared" si="34"/>
        <v/>
      </c>
      <c r="R159" s="717" t="str">
        <f t="shared" si="34"/>
        <v/>
      </c>
      <c r="S159" s="717" t="str">
        <f t="shared" si="34"/>
        <v/>
      </c>
      <c r="T159" s="717" t="str">
        <f t="shared" si="34"/>
        <v/>
      </c>
      <c r="U159" s="717" t="str">
        <f t="shared" si="34"/>
        <v/>
      </c>
      <c r="V159" s="717" t="str">
        <f t="shared" si="34"/>
        <v/>
      </c>
      <c r="W159" s="717" t="str">
        <f t="shared" si="34"/>
        <v/>
      </c>
      <c r="X159" s="717" t="str">
        <f t="shared" si="34"/>
        <v/>
      </c>
      <c r="Y159" s="717" t="str">
        <f t="shared" si="34"/>
        <v/>
      </c>
      <c r="Z159" s="717" t="str">
        <f t="shared" si="34"/>
        <v/>
      </c>
      <c r="AA159" s="717" t="str">
        <f t="shared" si="34"/>
        <v/>
      </c>
      <c r="AB159" s="717" t="str">
        <f t="shared" si="34"/>
        <v/>
      </c>
      <c r="AC159" s="717" t="str">
        <f t="shared" si="34"/>
        <v/>
      </c>
      <c r="AD159" s="717">
        <f t="shared" si="34"/>
        <v>0.5</v>
      </c>
      <c r="AE159" s="717" t="str">
        <f t="shared" si="34"/>
        <v/>
      </c>
      <c r="AF159" s="717" t="str">
        <f t="shared" si="37"/>
        <v/>
      </c>
      <c r="AG159" s="717" t="str">
        <f t="shared" si="37"/>
        <v/>
      </c>
      <c r="AH159" s="717" t="str">
        <f t="shared" si="37"/>
        <v/>
      </c>
      <c r="AI159" s="717" t="str">
        <f t="shared" si="37"/>
        <v/>
      </c>
      <c r="AJ159" s="717" t="str">
        <f t="shared" si="37"/>
        <v/>
      </c>
      <c r="AK159" s="717" t="str">
        <f t="shared" si="37"/>
        <v/>
      </c>
      <c r="AL159" s="717" t="str">
        <f t="shared" si="37"/>
        <v/>
      </c>
      <c r="AM159" s="717" t="str">
        <f t="shared" si="37"/>
        <v/>
      </c>
      <c r="AN159" s="717" t="str">
        <f t="shared" si="37"/>
        <v/>
      </c>
    </row>
    <row r="160" spans="1:40" ht="13.8" customHeight="1">
      <c r="A160" s="690">
        <v>12</v>
      </c>
      <c r="B160" s="715" t="s">
        <v>145</v>
      </c>
      <c r="C160" s="717" t="str">
        <f t="shared" si="36"/>
        <v/>
      </c>
      <c r="D160" s="717" t="str">
        <f t="shared" si="34"/>
        <v/>
      </c>
      <c r="E160" s="717" t="str">
        <f t="shared" si="34"/>
        <v/>
      </c>
      <c r="F160" s="717" t="str">
        <f t="shared" si="34"/>
        <v/>
      </c>
      <c r="G160" s="717" t="str">
        <f t="shared" si="34"/>
        <v/>
      </c>
      <c r="H160" s="717" t="str">
        <f t="shared" si="34"/>
        <v/>
      </c>
      <c r="I160" s="717" t="str">
        <f t="shared" si="34"/>
        <v/>
      </c>
      <c r="J160" s="717" t="str">
        <f t="shared" si="34"/>
        <v/>
      </c>
      <c r="K160" s="717" t="str">
        <f t="shared" si="34"/>
        <v/>
      </c>
      <c r="L160" s="717" t="str">
        <f t="shared" si="34"/>
        <v/>
      </c>
      <c r="M160" s="717" t="str">
        <f t="shared" si="34"/>
        <v/>
      </c>
      <c r="N160" s="717" t="str">
        <f t="shared" si="34"/>
        <v/>
      </c>
      <c r="O160" s="717" t="str">
        <f t="shared" si="34"/>
        <v/>
      </c>
      <c r="P160" s="717" t="str">
        <f t="shared" si="34"/>
        <v/>
      </c>
      <c r="Q160" s="717" t="str">
        <f t="shared" si="34"/>
        <v/>
      </c>
      <c r="R160" s="717" t="str">
        <f t="shared" si="34"/>
        <v/>
      </c>
      <c r="S160" s="717" t="str">
        <f t="shared" si="34"/>
        <v/>
      </c>
      <c r="T160" s="717" t="str">
        <f t="shared" si="34"/>
        <v/>
      </c>
      <c r="U160" s="717" t="str">
        <f t="shared" si="34"/>
        <v/>
      </c>
      <c r="V160" s="717" t="str">
        <f t="shared" ref="D160:AE161" si="38">IF((V228/100)=0,"",((V228/100)))</f>
        <v/>
      </c>
      <c r="W160" s="717" t="str">
        <f t="shared" si="38"/>
        <v/>
      </c>
      <c r="X160" s="717" t="str">
        <f t="shared" si="38"/>
        <v/>
      </c>
      <c r="Y160" s="717" t="str">
        <f t="shared" si="38"/>
        <v/>
      </c>
      <c r="Z160" s="717" t="str">
        <f t="shared" si="38"/>
        <v/>
      </c>
      <c r="AA160" s="717" t="str">
        <f t="shared" si="38"/>
        <v/>
      </c>
      <c r="AB160" s="717" t="str">
        <f t="shared" si="38"/>
        <v/>
      </c>
      <c r="AC160" s="717">
        <f t="shared" si="38"/>
        <v>0.5</v>
      </c>
      <c r="AD160" s="717" t="str">
        <f t="shared" si="38"/>
        <v/>
      </c>
      <c r="AE160" s="717" t="str">
        <f t="shared" si="38"/>
        <v/>
      </c>
      <c r="AF160" s="717" t="str">
        <f t="shared" si="37"/>
        <v/>
      </c>
      <c r="AG160" s="717" t="str">
        <f t="shared" si="37"/>
        <v/>
      </c>
      <c r="AH160" s="717" t="str">
        <f t="shared" si="37"/>
        <v/>
      </c>
      <c r="AI160" s="717" t="str">
        <f t="shared" si="37"/>
        <v/>
      </c>
      <c r="AJ160" s="717" t="str">
        <f t="shared" si="37"/>
        <v/>
      </c>
      <c r="AK160" s="717" t="str">
        <f t="shared" si="37"/>
        <v/>
      </c>
      <c r="AL160" s="717" t="str">
        <f t="shared" si="37"/>
        <v/>
      </c>
      <c r="AM160" s="717" t="str">
        <f t="shared" si="37"/>
        <v/>
      </c>
      <c r="AN160" s="717" t="str">
        <f t="shared" si="37"/>
        <v/>
      </c>
    </row>
    <row r="161" spans="1:62" ht="13.8" customHeight="1">
      <c r="A161" s="690">
        <v>13</v>
      </c>
      <c r="B161" s="715" t="s">
        <v>41</v>
      </c>
      <c r="C161" s="717" t="str">
        <f t="shared" si="36"/>
        <v/>
      </c>
      <c r="D161" s="717" t="str">
        <f t="shared" si="38"/>
        <v/>
      </c>
      <c r="E161" s="717" t="str">
        <f t="shared" si="38"/>
        <v/>
      </c>
      <c r="F161" s="717" t="str">
        <f t="shared" si="38"/>
        <v/>
      </c>
      <c r="G161" s="717" t="str">
        <f t="shared" si="38"/>
        <v/>
      </c>
      <c r="H161" s="717" t="str">
        <f t="shared" si="38"/>
        <v/>
      </c>
      <c r="I161" s="717" t="str">
        <f t="shared" si="38"/>
        <v/>
      </c>
      <c r="J161" s="717" t="str">
        <f t="shared" si="38"/>
        <v/>
      </c>
      <c r="K161" s="717" t="str">
        <f t="shared" si="38"/>
        <v/>
      </c>
      <c r="L161" s="717" t="str">
        <f t="shared" si="38"/>
        <v/>
      </c>
      <c r="M161" s="717" t="str">
        <f t="shared" si="38"/>
        <v/>
      </c>
      <c r="N161" s="717" t="str">
        <f t="shared" si="38"/>
        <v/>
      </c>
      <c r="O161" s="717" t="str">
        <f t="shared" si="38"/>
        <v/>
      </c>
      <c r="P161" s="717" t="str">
        <f t="shared" si="38"/>
        <v/>
      </c>
      <c r="Q161" s="717" t="str">
        <f t="shared" si="38"/>
        <v/>
      </c>
      <c r="R161" s="717" t="str">
        <f t="shared" si="38"/>
        <v/>
      </c>
      <c r="S161" s="717" t="str">
        <f t="shared" si="38"/>
        <v/>
      </c>
      <c r="T161" s="717" t="str">
        <f t="shared" si="38"/>
        <v/>
      </c>
      <c r="U161" s="717" t="str">
        <f t="shared" si="38"/>
        <v/>
      </c>
      <c r="V161" s="717" t="str">
        <f t="shared" si="38"/>
        <v/>
      </c>
      <c r="W161" s="717" t="str">
        <f t="shared" si="38"/>
        <v/>
      </c>
      <c r="X161" s="717" t="str">
        <f t="shared" si="38"/>
        <v/>
      </c>
      <c r="Y161" s="717" t="str">
        <f t="shared" si="38"/>
        <v/>
      </c>
      <c r="Z161" s="717" t="str">
        <f t="shared" si="38"/>
        <v/>
      </c>
      <c r="AA161" s="717" t="str">
        <f t="shared" si="38"/>
        <v/>
      </c>
      <c r="AB161" s="717" t="str">
        <f t="shared" si="38"/>
        <v/>
      </c>
      <c r="AC161" s="717" t="str">
        <f t="shared" si="38"/>
        <v/>
      </c>
      <c r="AD161" s="717" t="str">
        <f t="shared" si="38"/>
        <v/>
      </c>
      <c r="AE161" s="717" t="str">
        <f t="shared" si="38"/>
        <v/>
      </c>
      <c r="AF161" s="717" t="str">
        <f t="shared" si="37"/>
        <v/>
      </c>
      <c r="AG161" s="717" t="str">
        <f t="shared" si="37"/>
        <v/>
      </c>
      <c r="AH161" s="717" t="str">
        <f t="shared" si="37"/>
        <v/>
      </c>
      <c r="AI161" s="717" t="str">
        <f t="shared" si="37"/>
        <v/>
      </c>
      <c r="AJ161" s="717" t="str">
        <f t="shared" si="37"/>
        <v/>
      </c>
      <c r="AK161" s="717" t="str">
        <f t="shared" si="37"/>
        <v/>
      </c>
      <c r="AL161" s="717" t="str">
        <f t="shared" si="37"/>
        <v/>
      </c>
      <c r="AM161" s="717" t="str">
        <f t="shared" si="37"/>
        <v/>
      </c>
      <c r="AN161" s="717" t="str">
        <f t="shared" si="37"/>
        <v/>
      </c>
    </row>
    <row r="162" spans="1:62" ht="13.8" customHeight="1">
      <c r="A162" s="690">
        <v>14</v>
      </c>
      <c r="B162" s="715" t="s">
        <v>9</v>
      </c>
      <c r="C162" s="717">
        <f>C230</f>
        <v>1</v>
      </c>
      <c r="D162" s="717"/>
      <c r="E162" s="717"/>
      <c r="F162" s="717"/>
      <c r="G162" s="717"/>
      <c r="H162" s="717"/>
      <c r="I162" s="717"/>
      <c r="J162" s="717"/>
      <c r="K162" s="717"/>
      <c r="L162" s="717"/>
      <c r="M162" s="717"/>
      <c r="N162" s="717"/>
      <c r="O162" s="717"/>
      <c r="P162" s="717"/>
      <c r="Q162" s="717"/>
      <c r="R162" s="717"/>
      <c r="S162" s="717"/>
      <c r="T162" s="717"/>
      <c r="U162" s="717"/>
      <c r="V162" s="717"/>
      <c r="W162" s="717"/>
      <c r="X162" s="717"/>
      <c r="Y162" s="728"/>
      <c r="Z162" s="717"/>
      <c r="AA162" s="728"/>
      <c r="AB162" s="717"/>
      <c r="AC162" s="717"/>
      <c r="AD162" s="717"/>
      <c r="AE162" s="717"/>
      <c r="AF162" s="717"/>
      <c r="AG162" s="717"/>
      <c r="AH162" s="717"/>
      <c r="AI162" s="717"/>
      <c r="AJ162" s="717"/>
      <c r="AK162" s="717"/>
      <c r="AL162" s="717"/>
      <c r="AM162" s="717"/>
      <c r="AN162" s="717"/>
    </row>
    <row r="163" spans="1:62" ht="13.8" customHeight="1">
      <c r="A163" s="690">
        <v>15</v>
      </c>
      <c r="B163" s="715" t="s">
        <v>101</v>
      </c>
      <c r="C163" s="717">
        <v>76</v>
      </c>
      <c r="D163" s="717">
        <v>29.2</v>
      </c>
      <c r="E163" s="717">
        <v>80.400000000000006</v>
      </c>
      <c r="F163" s="717">
        <v>26.7</v>
      </c>
      <c r="G163" s="717">
        <v>74.400000000000006</v>
      </c>
      <c r="H163" s="717">
        <v>88.3</v>
      </c>
      <c r="I163" s="717">
        <v>104</v>
      </c>
      <c r="J163" s="717"/>
      <c r="K163" s="717">
        <v>97</v>
      </c>
      <c r="L163" s="717">
        <v>129.5</v>
      </c>
      <c r="M163" s="717">
        <v>8.1</v>
      </c>
      <c r="N163" s="717">
        <v>47.1</v>
      </c>
      <c r="O163" s="717">
        <v>10.119999999999999</v>
      </c>
      <c r="P163" s="717"/>
      <c r="Q163" s="717">
        <v>80.400000000000006</v>
      </c>
      <c r="R163" s="717">
        <v>44</v>
      </c>
      <c r="S163" s="717">
        <v>7.8</v>
      </c>
      <c r="T163" s="717"/>
      <c r="U163" s="717">
        <v>69.5</v>
      </c>
      <c r="V163" s="717">
        <v>0.8</v>
      </c>
      <c r="W163" s="717"/>
      <c r="X163" s="717"/>
      <c r="Y163" s="728"/>
      <c r="Z163" s="717"/>
      <c r="AA163" s="728"/>
      <c r="AB163" s="717"/>
      <c r="AC163" s="717"/>
      <c r="AD163" s="717"/>
      <c r="AE163" s="717"/>
      <c r="AF163" s="717"/>
      <c r="AG163" s="717"/>
      <c r="AH163" s="717"/>
      <c r="AI163" s="717"/>
      <c r="AJ163" s="717"/>
      <c r="AK163" s="717"/>
      <c r="AL163" s="717"/>
      <c r="AM163" s="717"/>
      <c r="AN163" s="717"/>
    </row>
    <row r="164" spans="1:62" ht="13.8" customHeight="1">
      <c r="A164" s="690">
        <v>16</v>
      </c>
      <c r="B164" s="715" t="s">
        <v>106</v>
      </c>
      <c r="C164" s="717">
        <v>51</v>
      </c>
      <c r="D164" s="717">
        <v>800</v>
      </c>
      <c r="E164" s="717">
        <v>766</v>
      </c>
      <c r="F164" s="717">
        <v>500</v>
      </c>
      <c r="G164" s="717">
        <v>1800</v>
      </c>
      <c r="H164" s="717">
        <v>840</v>
      </c>
      <c r="I164" s="717">
        <v>2300</v>
      </c>
      <c r="J164" s="717">
        <v>2000</v>
      </c>
      <c r="K164" s="717">
        <v>766</v>
      </c>
      <c r="L164" s="717">
        <v>350</v>
      </c>
      <c r="M164" s="717">
        <v>125</v>
      </c>
      <c r="N164" s="717"/>
      <c r="O164" s="717">
        <v>200</v>
      </c>
      <c r="P164" s="717"/>
      <c r="Q164" s="717"/>
      <c r="R164" s="717">
        <v>118</v>
      </c>
      <c r="S164" s="717">
        <v>200</v>
      </c>
      <c r="T164" s="717"/>
      <c r="U164" s="717"/>
      <c r="V164" s="717"/>
      <c r="W164" s="717"/>
      <c r="X164" s="717"/>
      <c r="Y164" s="728"/>
      <c r="Z164" s="717"/>
      <c r="AA164" s="728"/>
      <c r="AB164" s="717"/>
      <c r="AC164" s="717"/>
      <c r="AD164" s="717"/>
      <c r="AE164" s="717"/>
      <c r="AF164" s="717"/>
      <c r="AG164" s="717"/>
      <c r="AH164" s="717"/>
      <c r="AI164" s="717"/>
      <c r="AJ164" s="717"/>
      <c r="AK164" s="717"/>
      <c r="AL164" s="717"/>
      <c r="AM164" s="717"/>
      <c r="AN164" s="717"/>
    </row>
    <row r="165" spans="1:62" ht="13.8" customHeight="1">
      <c r="A165" s="757">
        <v>17</v>
      </c>
      <c r="B165" s="715" t="s">
        <v>13</v>
      </c>
      <c r="C165" s="717">
        <f t="shared" ref="C165:AE165" si="39">IF((C233/100)=0,"",((C233/100)))</f>
        <v>0.02</v>
      </c>
      <c r="D165" s="717" t="str">
        <f t="shared" si="39"/>
        <v/>
      </c>
      <c r="E165" s="717" t="str">
        <f t="shared" si="39"/>
        <v/>
      </c>
      <c r="F165" s="717" t="str">
        <f t="shared" si="39"/>
        <v/>
      </c>
      <c r="G165" s="717" t="str">
        <f t="shared" si="39"/>
        <v/>
      </c>
      <c r="H165" s="717" t="str">
        <f t="shared" si="39"/>
        <v/>
      </c>
      <c r="I165" s="717" t="str">
        <f t="shared" si="39"/>
        <v/>
      </c>
      <c r="J165" s="717" t="str">
        <f t="shared" si="39"/>
        <v/>
      </c>
      <c r="K165" s="717">
        <f t="shared" si="39"/>
        <v>0.03</v>
      </c>
      <c r="L165" s="717">
        <f t="shared" si="39"/>
        <v>0.48</v>
      </c>
      <c r="M165" s="717" t="str">
        <f t="shared" si="39"/>
        <v/>
      </c>
      <c r="N165" s="717" t="str">
        <f t="shared" si="39"/>
        <v/>
      </c>
      <c r="O165" s="717" t="str">
        <f t="shared" si="39"/>
        <v/>
      </c>
      <c r="P165" s="717" t="str">
        <f t="shared" si="39"/>
        <v/>
      </c>
      <c r="Q165" s="717" t="str">
        <f t="shared" si="39"/>
        <v/>
      </c>
      <c r="R165" s="717" t="str">
        <f t="shared" si="39"/>
        <v/>
      </c>
      <c r="S165" s="717" t="str">
        <f t="shared" si="39"/>
        <v/>
      </c>
      <c r="T165" s="717">
        <f t="shared" si="39"/>
        <v>0.66</v>
      </c>
      <c r="U165" s="717" t="str">
        <f t="shared" si="39"/>
        <v/>
      </c>
      <c r="V165" s="717" t="str">
        <f t="shared" si="39"/>
        <v/>
      </c>
      <c r="W165" s="717" t="str">
        <f t="shared" si="39"/>
        <v/>
      </c>
      <c r="X165" s="717" t="str">
        <f t="shared" si="39"/>
        <v/>
      </c>
      <c r="Y165" s="717" t="str">
        <f t="shared" si="39"/>
        <v/>
      </c>
      <c r="Z165" s="717" t="str">
        <f t="shared" si="39"/>
        <v/>
      </c>
      <c r="AA165" s="717" t="str">
        <f t="shared" si="39"/>
        <v/>
      </c>
      <c r="AB165" s="717" t="str">
        <f t="shared" si="39"/>
        <v/>
      </c>
      <c r="AC165" s="717" t="str">
        <f t="shared" si="39"/>
        <v/>
      </c>
      <c r="AD165" s="717" t="str">
        <f t="shared" si="39"/>
        <v/>
      </c>
      <c r="AE165" s="717" t="str">
        <f t="shared" si="39"/>
        <v/>
      </c>
      <c r="AF165" s="717" t="str">
        <f t="shared" ref="AF165:AN165" si="40">IF((AF233/100)*1000=0,"",((AF233/100)*1000))</f>
        <v/>
      </c>
      <c r="AG165" s="717" t="str">
        <f t="shared" si="40"/>
        <v/>
      </c>
      <c r="AH165" s="717" t="str">
        <f t="shared" si="40"/>
        <v/>
      </c>
      <c r="AI165" s="717" t="str">
        <f t="shared" si="40"/>
        <v/>
      </c>
      <c r="AJ165" s="717" t="str">
        <f t="shared" si="40"/>
        <v/>
      </c>
      <c r="AK165" s="717" t="str">
        <f t="shared" si="40"/>
        <v/>
      </c>
      <c r="AL165" s="717" t="str">
        <f t="shared" si="40"/>
        <v/>
      </c>
      <c r="AM165" s="717" t="str">
        <f t="shared" si="40"/>
        <v/>
      </c>
      <c r="AN165" s="717" t="str">
        <f t="shared" si="40"/>
        <v/>
      </c>
    </row>
    <row r="166" spans="1:62" ht="10.8" customHeight="1">
      <c r="B166" s="671"/>
      <c r="C166" s="645"/>
      <c r="D166" s="645"/>
      <c r="E166" s="645"/>
      <c r="F166" s="645"/>
      <c r="G166" s="645"/>
      <c r="H166" s="645"/>
      <c r="I166" s="645"/>
      <c r="J166" s="645"/>
      <c r="K166" s="645"/>
      <c r="L166" s="645"/>
      <c r="M166" s="645"/>
      <c r="N166" s="645"/>
      <c r="O166" s="645"/>
      <c r="P166" s="645"/>
      <c r="Q166" s="645"/>
      <c r="R166" s="645"/>
      <c r="S166" s="645"/>
      <c r="T166" s="645"/>
      <c r="U166" s="645"/>
      <c r="V166" s="645"/>
      <c r="W166" s="645"/>
      <c r="X166" s="645"/>
      <c r="Y166" s="645"/>
      <c r="Z166" s="645"/>
      <c r="AA166" s="460"/>
      <c r="AB166" s="645"/>
      <c r="AC166" s="645"/>
      <c r="AD166" s="645"/>
      <c r="AE166" s="645"/>
      <c r="AF166" s="645"/>
      <c r="AG166" s="645"/>
      <c r="AH166" s="645"/>
      <c r="AI166" s="645"/>
      <c r="AJ166" s="645"/>
      <c r="AK166" s="645"/>
      <c r="AL166" s="645"/>
      <c r="AM166" s="645"/>
      <c r="AN166" s="646"/>
    </row>
    <row r="167" spans="1:62" ht="10.199999999999999" customHeight="1">
      <c r="B167" s="671"/>
      <c r="C167" s="645"/>
      <c r="D167" s="645"/>
      <c r="E167" s="645"/>
      <c r="F167" s="645"/>
      <c r="G167" s="645"/>
      <c r="H167" s="645"/>
      <c r="I167" s="645"/>
      <c r="J167" s="645"/>
      <c r="K167" s="645"/>
      <c r="L167" s="645"/>
      <c r="M167" s="645"/>
      <c r="N167" s="645"/>
      <c r="O167" s="645"/>
      <c r="P167" s="645"/>
      <c r="Q167" s="645"/>
      <c r="R167" s="645"/>
      <c r="S167" s="645"/>
      <c r="T167" s="645"/>
      <c r="U167" s="645"/>
      <c r="V167" s="645"/>
      <c r="W167" s="645"/>
      <c r="X167" s="645"/>
      <c r="Y167" s="645"/>
      <c r="Z167" s="645"/>
      <c r="AA167" s="460"/>
      <c r="AB167" s="645"/>
      <c r="AC167" s="645"/>
      <c r="AD167" s="645"/>
      <c r="AE167" s="645"/>
      <c r="AF167" s="645"/>
      <c r="AG167" s="645"/>
      <c r="AH167" s="645"/>
      <c r="AI167" s="645"/>
      <c r="AJ167" s="645"/>
      <c r="AK167" s="645"/>
      <c r="AL167" s="645"/>
      <c r="AM167" s="645"/>
      <c r="AN167" s="646"/>
    </row>
    <row r="168" spans="1:62" ht="10.199999999999999" customHeight="1">
      <c r="B168" s="671"/>
      <c r="C168" s="645"/>
      <c r="D168" s="645"/>
      <c r="E168" s="645"/>
      <c r="F168" s="645"/>
      <c r="G168" s="645"/>
      <c r="H168" s="645"/>
      <c r="I168" s="645"/>
      <c r="J168" s="645"/>
      <c r="K168" s="645"/>
      <c r="L168" s="645"/>
      <c r="M168" s="645"/>
      <c r="N168" s="645"/>
      <c r="O168" s="645"/>
      <c r="P168" s="645"/>
      <c r="Q168" s="645"/>
      <c r="R168" s="645"/>
      <c r="S168" s="645"/>
      <c r="T168" s="645"/>
      <c r="U168" s="645"/>
      <c r="V168" s="645"/>
      <c r="W168" s="645"/>
      <c r="X168" s="645"/>
      <c r="Y168" s="645"/>
      <c r="Z168" s="645"/>
      <c r="AA168" s="460"/>
      <c r="AB168" s="645"/>
      <c r="AC168" s="645"/>
      <c r="AD168" s="645"/>
      <c r="AE168" s="645"/>
      <c r="AF168" s="645"/>
      <c r="AG168" s="645"/>
      <c r="AH168" s="645"/>
      <c r="AI168" s="645"/>
      <c r="AJ168" s="645"/>
      <c r="AK168" s="645"/>
      <c r="AL168" s="645"/>
      <c r="AM168" s="645"/>
      <c r="AN168" s="646"/>
    </row>
    <row r="169" spans="1:62" ht="10.199999999999999" customHeight="1">
      <c r="B169" s="671"/>
      <c r="C169" s="645"/>
      <c r="D169" s="645"/>
      <c r="E169" s="645"/>
      <c r="F169" s="645"/>
      <c r="G169" s="645"/>
      <c r="H169" s="645"/>
      <c r="I169" s="645"/>
      <c r="J169" s="645"/>
      <c r="K169" s="645"/>
      <c r="L169" s="645"/>
      <c r="M169" s="645"/>
      <c r="N169" s="645"/>
      <c r="O169" s="645"/>
      <c r="P169" s="645"/>
      <c r="Q169" s="645"/>
      <c r="R169" s="645"/>
      <c r="S169" s="645"/>
      <c r="T169" s="645"/>
      <c r="U169" s="645"/>
      <c r="V169" s="645"/>
      <c r="W169" s="645"/>
      <c r="X169" s="645"/>
      <c r="Y169" s="645"/>
      <c r="Z169" s="645"/>
      <c r="AA169" s="460"/>
      <c r="AB169" s="645"/>
      <c r="AC169" s="645"/>
      <c r="AD169" s="645"/>
      <c r="AE169" s="645"/>
      <c r="AF169" s="645"/>
      <c r="AG169" s="645"/>
      <c r="AH169" s="645"/>
      <c r="AI169" s="645"/>
      <c r="AJ169" s="645"/>
      <c r="AK169" s="645"/>
      <c r="AL169" s="645"/>
      <c r="AM169" s="645"/>
      <c r="AN169" s="646"/>
      <c r="AX169" s="805" t="str">
        <f>"Fertilizer Plan NPK Requirement = "&amp;'Fertilizer Cost LP Model'!C22&amp;":"&amp;'Fertilizer Cost LP Model'!D22&amp;":"&amp;'Fertilizer Cost LP Model'!E22</f>
        <v>Fertilizer Plan NPK Requirement = 200:100:100</v>
      </c>
      <c r="AY169" s="805"/>
      <c r="AZ169" s="805"/>
      <c r="BA169" s="805"/>
      <c r="BB169" s="805"/>
      <c r="BC169" s="805"/>
      <c r="BD169" s="805"/>
      <c r="BE169" s="805"/>
      <c r="BF169" s="805"/>
      <c r="BG169" s="805"/>
      <c r="BH169" s="805"/>
      <c r="BI169" s="805"/>
      <c r="BJ169" s="805"/>
    </row>
    <row r="170" spans="1:62" ht="10.199999999999999" customHeight="1" thickBot="1">
      <c r="B170" s="758" t="s">
        <v>80</v>
      </c>
      <c r="C170" s="758" t="s">
        <v>81</v>
      </c>
      <c r="D170" s="758" t="s">
        <v>82</v>
      </c>
      <c r="E170" s="758" t="s">
        <v>174</v>
      </c>
      <c r="F170" s="758" t="s">
        <v>175</v>
      </c>
      <c r="G170" s="758"/>
      <c r="H170" s="758"/>
      <c r="I170" s="645"/>
      <c r="J170" s="645"/>
      <c r="K170" s="645"/>
      <c r="L170" s="645"/>
      <c r="M170" s="645"/>
      <c r="N170" s="645"/>
      <c r="O170" s="645"/>
      <c r="P170" s="645"/>
      <c r="Q170" s="645"/>
      <c r="R170" s="645"/>
      <c r="S170" s="645"/>
      <c r="T170" s="645"/>
      <c r="U170" s="645"/>
      <c r="V170" s="645"/>
      <c r="W170" s="645"/>
      <c r="X170" s="645"/>
      <c r="Y170" s="645"/>
      <c r="Z170" s="645"/>
      <c r="AA170" s="460"/>
      <c r="AB170" s="645"/>
      <c r="AC170" s="645"/>
      <c r="AD170" s="645"/>
      <c r="AE170" s="645"/>
      <c r="AF170" s="645"/>
      <c r="AG170" s="645"/>
      <c r="AH170" s="645"/>
      <c r="AI170" s="645"/>
      <c r="AJ170" s="645"/>
      <c r="AK170" s="645"/>
      <c r="AL170" s="645"/>
      <c r="AM170" s="645"/>
      <c r="AN170" s="646"/>
    </row>
    <row r="171" spans="1:62" ht="10.199999999999999" customHeight="1">
      <c r="B171" s="715" t="s">
        <v>22</v>
      </c>
      <c r="C171" s="715" t="s">
        <v>78</v>
      </c>
      <c r="D171" s="715" t="s">
        <v>9</v>
      </c>
      <c r="E171" s="715" t="s">
        <v>21</v>
      </c>
      <c r="F171" s="715" t="s">
        <v>14</v>
      </c>
      <c r="G171" s="715"/>
      <c r="H171" s="715"/>
      <c r="I171" s="645"/>
      <c r="J171" s="645"/>
      <c r="K171" s="645"/>
      <c r="L171" s="645"/>
      <c r="M171" s="645"/>
      <c r="N171" s="645"/>
      <c r="O171" s="645"/>
      <c r="P171" s="645"/>
      <c r="Q171" s="645"/>
      <c r="R171" s="645"/>
      <c r="S171" s="645"/>
      <c r="T171" s="645"/>
      <c r="U171" s="645"/>
      <c r="V171" s="645"/>
      <c r="W171" s="645"/>
      <c r="X171" s="645"/>
      <c r="Y171" s="645"/>
      <c r="Z171" s="645"/>
      <c r="AA171" s="460"/>
      <c r="AB171" s="645"/>
      <c r="AC171" s="645"/>
      <c r="AD171" s="645"/>
      <c r="AE171" s="645"/>
      <c r="AF171" s="645"/>
      <c r="AG171" s="645"/>
      <c r="AH171" s="645"/>
      <c r="AI171" s="645"/>
      <c r="AJ171" s="645"/>
      <c r="AK171" s="645"/>
      <c r="AL171" s="645"/>
      <c r="AM171" s="645"/>
      <c r="AN171" s="646"/>
      <c r="AX171" s="806"/>
      <c r="AY171" s="932" t="str">
        <f>IF('Fertilizer Cost LP Model'!C189="","",'Fertilizer Cost LP Model'!C189)</f>
        <v>AN</v>
      </c>
      <c r="AZ171" s="933" t="str">
        <f>IF('Fertilizer Cost LP Model'!D189="","",'Fertilizer Cost LP Model'!D189)</f>
        <v>AS</v>
      </c>
      <c r="BA171" s="933" t="str">
        <f>IF('Fertilizer Cost LP Model'!E189="","",'Fertilizer Cost LP Model'!E189)</f>
        <v>DAP</v>
      </c>
      <c r="BB171" s="933" t="str">
        <f>IF('Fertilizer Cost LP Model'!F189="","",'Fertilizer Cost LP Model'!F189)</f>
        <v>MOP</v>
      </c>
      <c r="BC171" s="933" t="str">
        <f>IF('Fertilizer Cost LP Model'!G189="","",'Fertilizer Cost LP Model'!G189)</f>
        <v>Kieserite</v>
      </c>
      <c r="BD171" s="933" t="str">
        <f>IF('Fertilizer Cost LP Model'!H189="","",'Fertilizer Cost LP Model'!H189)</f>
        <v/>
      </c>
      <c r="BE171" s="933" t="str">
        <f>IF('Fertilizer Cost LP Model'!I189="","",'Fertilizer Cost LP Model'!I189)</f>
        <v/>
      </c>
      <c r="BF171" s="933" t="str">
        <f>IF('Fertilizer Cost LP Model'!J189="","",'Fertilizer Cost LP Model'!J189)</f>
        <v/>
      </c>
      <c r="BG171" s="933" t="str">
        <f>IF('Fertilizer Cost LP Model'!K189="","",'Fertilizer Cost LP Model'!K189)</f>
        <v/>
      </c>
      <c r="BH171" s="934" t="str">
        <f>IF('Fertilizer Cost LP Model'!L189="","",'Fertilizer Cost LP Model'!L189)</f>
        <v/>
      </c>
      <c r="BI171" s="933" t="s">
        <v>198</v>
      </c>
      <c r="BJ171" s="785"/>
    </row>
    <row r="172" spans="1:62" ht="10.199999999999999" customHeight="1">
      <c r="B172" s="715" t="s">
        <v>21</v>
      </c>
      <c r="C172" s="715" t="s">
        <v>42</v>
      </c>
      <c r="D172" s="715" t="s">
        <v>43</v>
      </c>
      <c r="E172" s="715" t="s">
        <v>32</v>
      </c>
      <c r="F172" s="715" t="s">
        <v>145</v>
      </c>
      <c r="G172" s="715"/>
      <c r="H172" s="715"/>
      <c r="I172" s="645"/>
      <c r="J172" s="645"/>
      <c r="K172" s="645"/>
      <c r="L172" s="645"/>
      <c r="M172" s="645"/>
      <c r="N172" s="645"/>
      <c r="O172" s="645"/>
      <c r="P172" s="645"/>
      <c r="Q172" s="645"/>
      <c r="R172" s="645"/>
      <c r="S172" s="645"/>
      <c r="T172" s="645"/>
      <c r="U172" s="645"/>
      <c r="V172" s="645"/>
      <c r="W172" s="645"/>
      <c r="X172" s="645"/>
      <c r="Y172" s="645"/>
      <c r="Z172" s="645"/>
      <c r="AA172" s="460"/>
      <c r="AB172" s="645"/>
      <c r="AC172" s="645"/>
      <c r="AD172" s="645"/>
      <c r="AE172" s="645"/>
      <c r="AF172" s="645"/>
      <c r="AG172" s="645"/>
      <c r="AH172" s="645"/>
      <c r="AI172" s="645"/>
      <c r="AJ172" s="645"/>
      <c r="AK172" s="645"/>
      <c r="AL172" s="645"/>
      <c r="AM172" s="645"/>
      <c r="AN172" s="646"/>
      <c r="AX172" s="807"/>
      <c r="AY172" s="790">
        <f>IFERROR(HLOOKUP(AY171,'Fertilizer Cost LP Model'!$B$17:$AA$18,2,FALSE),"")</f>
        <v>207</v>
      </c>
      <c r="AZ172" s="791">
        <f>IFERROR(HLOOKUP(AZ171,'Fertilizer Cost LP Model'!$B$17:$AA$18,2,FALSE),"")</f>
        <v>177</v>
      </c>
      <c r="BA172" s="791">
        <f>IFERROR(HLOOKUP(BA171,'Fertilizer Cost LP Model'!$B$17:$AA$18,2,FALSE),"")</f>
        <v>365</v>
      </c>
      <c r="BB172" s="791">
        <f>IFERROR(HLOOKUP(BB171,'Fertilizer Cost LP Model'!$B$17:$AA$18,2,FALSE),"")</f>
        <v>322</v>
      </c>
      <c r="BC172" s="791">
        <f>IFERROR(HLOOKUP(BC171,'Fertilizer Cost LP Model'!$B$17:$AA$18,2,FALSE),"")</f>
        <v>250</v>
      </c>
      <c r="BD172" s="791" t="str">
        <f>IFERROR(HLOOKUP(BD171,'Fertilizer Cost LP Model'!$B$17:$AA$18,2,FALSE),"")</f>
        <v/>
      </c>
      <c r="BE172" s="791" t="str">
        <f>IFERROR(HLOOKUP(BE171,'Fertilizer Cost LP Model'!$B$17:$AA$18,2,FALSE),"")</f>
        <v/>
      </c>
      <c r="BF172" s="791" t="str">
        <f>IFERROR(HLOOKUP(BF171,'Fertilizer Cost LP Model'!$B$17:$AA$18,2,FALSE),"")</f>
        <v/>
      </c>
      <c r="BG172" s="791" t="str">
        <f>IFERROR(HLOOKUP(BG171,'Fertilizer Cost LP Model'!$B$17:$AA$18,2,FALSE),"")</f>
        <v/>
      </c>
      <c r="BH172" s="935" t="str">
        <f>IFERROR(HLOOKUP(BH171,'Fertilizer Cost LP Model'!$B$17:$AA$18,2,FALSE),"")</f>
        <v/>
      </c>
      <c r="BI172" s="942"/>
      <c r="BJ172" s="787"/>
    </row>
    <row r="173" spans="1:62" ht="10.199999999999999" customHeight="1">
      <c r="B173" s="715" t="s">
        <v>23</v>
      </c>
      <c r="C173" s="715" t="s">
        <v>32</v>
      </c>
      <c r="D173" s="715" t="s">
        <v>71</v>
      </c>
      <c r="E173" s="715" t="s">
        <v>18</v>
      </c>
      <c r="F173" s="715" t="s">
        <v>38</v>
      </c>
      <c r="G173" s="715"/>
      <c r="H173" s="715"/>
      <c r="I173" s="645"/>
      <c r="J173" s="645"/>
      <c r="K173" s="645"/>
      <c r="L173" s="645"/>
      <c r="M173" s="645"/>
      <c r="N173" s="645"/>
      <c r="O173" s="645"/>
      <c r="P173" s="645"/>
      <c r="Q173" s="645"/>
      <c r="R173" s="645"/>
      <c r="S173" s="645"/>
      <c r="T173" s="645"/>
      <c r="U173" s="645"/>
      <c r="V173" s="645"/>
      <c r="W173" s="645"/>
      <c r="X173" s="645"/>
      <c r="Y173" s="645"/>
      <c r="Z173" s="645"/>
      <c r="AA173" s="460"/>
      <c r="AB173" s="645"/>
      <c r="AC173" s="645"/>
      <c r="AD173" s="645"/>
      <c r="AE173" s="645"/>
      <c r="AF173" s="645"/>
      <c r="AG173" s="645"/>
      <c r="AH173" s="645"/>
      <c r="AI173" s="645"/>
      <c r="AJ173" s="645"/>
      <c r="AK173" s="645"/>
      <c r="AL173" s="645"/>
      <c r="AM173" s="645"/>
      <c r="AN173" s="646"/>
      <c r="AX173" s="1187" t="s">
        <v>177</v>
      </c>
      <c r="AY173" s="936">
        <f>IF('Fertilizer Cost LP Model'!C190="","",'Fertilizer Cost LP Model'!C190)</f>
        <v>473.14578299232733</v>
      </c>
      <c r="AZ173" s="937">
        <f>IF('Fertilizer Cost LP Model'!D190="","",'Fertilizer Cost LP Model'!D190)</f>
        <v>0</v>
      </c>
      <c r="BA173" s="937">
        <f>IF('Fertilizer Cost LP Model'!E190="","",'Fertilizer Cost LP Model'!E190)</f>
        <v>217.39130434782609</v>
      </c>
      <c r="BB173" s="937">
        <f>IF('Fertilizer Cost LP Model'!F190="","",'Fertilizer Cost LP Model'!F190)</f>
        <v>166.66666666666671</v>
      </c>
      <c r="BC173" s="937">
        <f>IF('Fertilizer Cost LP Model'!G190="","",'Fertilizer Cost LP Model'!G190)</f>
        <v>120</v>
      </c>
      <c r="BD173" s="937" t="str">
        <f>IF('Fertilizer Cost LP Model'!H190="","",'Fertilizer Cost LP Model'!H190)</f>
        <v/>
      </c>
      <c r="BE173" s="937" t="str">
        <f>IF('Fertilizer Cost LP Model'!I190="","",'Fertilizer Cost LP Model'!I190)</f>
        <v/>
      </c>
      <c r="BF173" s="937" t="str">
        <f>IF('Fertilizer Cost LP Model'!J190="","",'Fertilizer Cost LP Model'!J190)</f>
        <v/>
      </c>
      <c r="BG173" s="937" t="str">
        <f>IF('Fertilizer Cost LP Model'!K190="","",'Fertilizer Cost LP Model'!K190)</f>
        <v/>
      </c>
      <c r="BH173" s="938" t="str">
        <f>IF('Fertilizer Cost LP Model'!L190="","",'Fertilizer Cost LP Model'!L190)</f>
        <v/>
      </c>
      <c r="BI173" s="781">
        <f>IF(SUM(AY173:BH173)=0,"",SUM(AY173:BH173))</f>
        <v>977.20375400682019</v>
      </c>
      <c r="BJ173" s="788"/>
    </row>
    <row r="174" spans="1:62" ht="10.199999999999999" customHeight="1">
      <c r="B174" s="715" t="s">
        <v>79</v>
      </c>
      <c r="C174" s="715" t="s">
        <v>28</v>
      </c>
      <c r="D174" s="715" t="s">
        <v>18</v>
      </c>
      <c r="E174" s="715" t="s">
        <v>23</v>
      </c>
      <c r="F174" s="715" t="s">
        <v>41</v>
      </c>
      <c r="G174" s="715"/>
      <c r="H174" s="715"/>
      <c r="I174" s="645"/>
      <c r="J174" s="645"/>
      <c r="K174" s="645"/>
      <c r="L174" s="645"/>
      <c r="M174" s="645"/>
      <c r="N174" s="645"/>
      <c r="O174" s="645"/>
      <c r="P174" s="645"/>
      <c r="Q174" s="645"/>
      <c r="R174" s="645"/>
      <c r="S174" s="645"/>
      <c r="T174" s="645"/>
      <c r="U174" s="645"/>
      <c r="V174" s="645"/>
      <c r="W174" s="645"/>
      <c r="X174" s="645"/>
      <c r="Y174" s="645"/>
      <c r="Z174" s="645"/>
      <c r="AA174" s="460"/>
      <c r="AB174" s="645"/>
      <c r="AC174" s="645"/>
      <c r="AD174" s="645"/>
      <c r="AE174" s="645"/>
      <c r="AF174" s="645"/>
      <c r="AG174" s="645"/>
      <c r="AH174" s="645"/>
      <c r="AI174" s="645"/>
      <c r="AJ174" s="645"/>
      <c r="AK174" s="645"/>
      <c r="AL174" s="645"/>
      <c r="AM174" s="645"/>
      <c r="AN174" s="646"/>
      <c r="AX174" s="1188"/>
      <c r="AY174" s="939"/>
      <c r="AZ174" s="940"/>
      <c r="BA174" s="940"/>
      <c r="BB174" s="940"/>
      <c r="BC174" s="940"/>
      <c r="BD174" s="940"/>
      <c r="BE174" s="940"/>
      <c r="BF174" s="940"/>
      <c r="BG174" s="940"/>
      <c r="BH174" s="941"/>
      <c r="BI174" s="954" t="s">
        <v>187</v>
      </c>
      <c r="BJ174" s="784"/>
    </row>
    <row r="175" spans="1:62" ht="10.199999999999999" customHeight="1">
      <c r="B175" s="715" t="s">
        <v>139</v>
      </c>
      <c r="C175" s="715" t="s">
        <v>138</v>
      </c>
      <c r="D175" s="715" t="s">
        <v>176</v>
      </c>
      <c r="E175" s="715" t="s">
        <v>26</v>
      </c>
      <c r="F175" s="715"/>
      <c r="G175" s="715"/>
      <c r="H175" s="715"/>
      <c r="I175" s="645"/>
      <c r="J175" s="645"/>
      <c r="K175" s="645"/>
      <c r="L175" s="645"/>
      <c r="M175" s="645"/>
      <c r="N175" s="645"/>
      <c r="O175" s="645"/>
      <c r="P175" s="645"/>
      <c r="Q175" s="645"/>
      <c r="R175" s="645"/>
      <c r="S175" s="645"/>
      <c r="T175" s="645"/>
      <c r="U175" s="645"/>
      <c r="V175" s="645"/>
      <c r="W175" s="645"/>
      <c r="X175" s="645"/>
      <c r="Y175" s="645"/>
      <c r="Z175" s="645"/>
      <c r="AA175" s="460"/>
      <c r="AB175" s="645"/>
      <c r="AC175" s="645"/>
      <c r="AD175" s="645"/>
      <c r="AE175" s="645"/>
      <c r="AF175" s="645"/>
      <c r="AG175" s="645"/>
      <c r="AH175" s="645"/>
      <c r="AI175" s="645"/>
      <c r="AJ175" s="645"/>
      <c r="AK175" s="645"/>
      <c r="AL175" s="645"/>
      <c r="AM175" s="645"/>
      <c r="AN175" s="646"/>
      <c r="AX175" s="798"/>
      <c r="AY175" s="781" t="s">
        <v>154</v>
      </c>
      <c r="AZ175" s="782" t="s">
        <v>180</v>
      </c>
      <c r="BA175" s="782" t="s">
        <v>181</v>
      </c>
      <c r="BB175" s="782" t="s">
        <v>83</v>
      </c>
      <c r="BC175" s="782" t="s">
        <v>11</v>
      </c>
      <c r="BD175" s="782" t="s">
        <v>12</v>
      </c>
      <c r="BE175" s="782" t="s">
        <v>14</v>
      </c>
      <c r="BF175" s="782" t="s">
        <v>38</v>
      </c>
      <c r="BG175" s="782" t="s">
        <v>145</v>
      </c>
      <c r="BH175" s="783" t="s">
        <v>13</v>
      </c>
      <c r="BI175" s="1168">
        <f>'Fertilizer Cost LP Model'!M192</f>
        <v>276.78637064794543</v>
      </c>
      <c r="BJ175" s="1194"/>
    </row>
    <row r="176" spans="1:62" ht="10.199999999999999" customHeight="1">
      <c r="B176" s="715" t="s">
        <v>142</v>
      </c>
      <c r="C176" s="715" t="s">
        <v>141</v>
      </c>
      <c r="D176" s="715" t="s">
        <v>30</v>
      </c>
      <c r="E176" s="715" t="s">
        <v>140</v>
      </c>
      <c r="F176" s="715"/>
      <c r="G176" s="715"/>
      <c r="H176" s="715"/>
      <c r="I176" s="645"/>
      <c r="J176" s="645"/>
      <c r="K176" s="645"/>
      <c r="L176" s="645"/>
      <c r="M176" s="645"/>
      <c r="N176" s="645"/>
      <c r="O176" s="645"/>
      <c r="P176" s="645"/>
      <c r="Q176" s="645"/>
      <c r="R176" s="645"/>
      <c r="S176" s="645"/>
      <c r="T176" s="645"/>
      <c r="U176" s="645"/>
      <c r="V176" s="645"/>
      <c r="W176" s="645"/>
      <c r="X176" s="645"/>
      <c r="Y176" s="645"/>
      <c r="Z176" s="645"/>
      <c r="AA176" s="460"/>
      <c r="AB176" s="645"/>
      <c r="AC176" s="645"/>
      <c r="AD176" s="645"/>
      <c r="AE176" s="645"/>
      <c r="AF176" s="645"/>
      <c r="AG176" s="645"/>
      <c r="AH176" s="645"/>
      <c r="AI176" s="645"/>
      <c r="AJ176" s="645"/>
      <c r="AK176" s="645"/>
      <c r="AL176" s="645"/>
      <c r="AM176" s="645"/>
      <c r="AN176" s="646"/>
      <c r="AX176" s="799"/>
      <c r="AY176" s="790">
        <f>IF('Fertilizer Cost LP Model'!C193="","",'Fertilizer Cost LP Model'!C193)</f>
        <v>200.000001</v>
      </c>
      <c r="AZ176" s="791">
        <f>IF('Fertilizer Cost LP Model'!D193="","",'Fertilizer Cost LP Model'!D193)</f>
        <v>100.00000000000001</v>
      </c>
      <c r="BA176" s="791">
        <f>IF('Fertilizer Cost LP Model'!E193="","",'Fertilizer Cost LP Model'!E193)</f>
        <v>100.00000000000003</v>
      </c>
      <c r="BB176" s="791">
        <f>IF('Fertilizer Cost LP Model'!F193="","",'Fertilizer Cost LP Model'!F193)</f>
        <v>24</v>
      </c>
      <c r="BC176" s="791">
        <f>IF('Fertilizer Cost LP Model'!G193="","",'Fertilizer Cost LP Model'!G193)</f>
        <v>30</v>
      </c>
      <c r="BD176" s="791">
        <f>IF('Fertilizer Cost LP Model'!H193="","",'Fertilizer Cost LP Model'!H193)</f>
        <v>0</v>
      </c>
      <c r="BE176" s="791">
        <f>IF('Fertilizer Cost LP Model'!I193="","",'Fertilizer Cost LP Model'!I193)</f>
        <v>0</v>
      </c>
      <c r="BF176" s="791">
        <f>IF('Fertilizer Cost LP Model'!J193="","",'Fertilizer Cost LP Model'!J193)</f>
        <v>0</v>
      </c>
      <c r="BG176" s="791">
        <f>IF('Fertilizer Cost LP Model'!K193="","",'Fertilizer Cost LP Model'!K193)</f>
        <v>0</v>
      </c>
      <c r="BH176" s="935">
        <f>IF('Fertilizer Cost LP Model'!L193="","",'Fertilizer Cost LP Model'!L193)</f>
        <v>80.000000000000014</v>
      </c>
      <c r="BI176" s="1172"/>
      <c r="BJ176" s="1195"/>
    </row>
    <row r="177" spans="2:62" ht="10.199999999999999" customHeight="1" thickBot="1">
      <c r="B177" s="715"/>
      <c r="C177" s="715"/>
      <c r="D177" s="715"/>
      <c r="E177" s="715" t="s">
        <v>35</v>
      </c>
      <c r="F177" s="715"/>
      <c r="G177" s="715"/>
      <c r="H177" s="715"/>
      <c r="I177" s="645"/>
      <c r="J177" s="645"/>
      <c r="K177" s="645"/>
      <c r="L177" s="645"/>
      <c r="M177" s="645"/>
      <c r="N177" s="645"/>
      <c r="O177" s="645"/>
      <c r="P177" s="645"/>
      <c r="Q177" s="645"/>
      <c r="R177" s="645"/>
      <c r="S177" s="645"/>
      <c r="T177" s="645"/>
      <c r="U177" s="645"/>
      <c r="V177" s="645"/>
      <c r="W177" s="645"/>
      <c r="X177" s="645"/>
      <c r="Y177" s="645"/>
      <c r="Z177" s="645"/>
      <c r="AA177" s="460"/>
      <c r="AB177" s="645"/>
      <c r="AC177" s="645"/>
      <c r="AD177" s="645"/>
      <c r="AE177" s="645"/>
      <c r="AF177" s="645"/>
      <c r="AG177" s="645"/>
      <c r="AH177" s="645"/>
      <c r="AI177" s="645"/>
      <c r="AJ177" s="645"/>
      <c r="AK177" s="645"/>
      <c r="AL177" s="645"/>
      <c r="AM177" s="645"/>
      <c r="AN177" s="646"/>
      <c r="AX177" s="798"/>
      <c r="AY177" s="942"/>
      <c r="AZ177" s="942"/>
      <c r="BA177" s="942"/>
      <c r="BB177" s="942"/>
      <c r="BC177" s="942"/>
      <c r="BD177" s="942"/>
      <c r="BE177" s="942"/>
      <c r="BF177" s="942"/>
      <c r="BG177" s="942"/>
      <c r="BH177" s="942"/>
      <c r="BI177" s="942"/>
      <c r="BJ177" s="786"/>
    </row>
    <row r="178" spans="2:62" ht="10.199999999999999" customHeight="1">
      <c r="B178" s="715"/>
      <c r="C178" s="715"/>
      <c r="D178" s="715"/>
      <c r="E178" s="715" t="s">
        <v>36</v>
      </c>
      <c r="F178" s="715"/>
      <c r="G178" s="715"/>
      <c r="H178" s="715"/>
      <c r="I178" s="645"/>
      <c r="J178" s="645"/>
      <c r="K178" s="645"/>
      <c r="L178" s="645"/>
      <c r="M178" s="645"/>
      <c r="N178" s="645"/>
      <c r="O178" s="645"/>
      <c r="P178" s="645"/>
      <c r="Q178" s="645"/>
      <c r="R178" s="645"/>
      <c r="S178" s="645"/>
      <c r="T178" s="645"/>
      <c r="U178" s="645"/>
      <c r="V178" s="645"/>
      <c r="W178" s="645"/>
      <c r="X178" s="645"/>
      <c r="Y178" s="645"/>
      <c r="Z178" s="645"/>
      <c r="AA178" s="460"/>
      <c r="AB178" s="645"/>
      <c r="AC178" s="645"/>
      <c r="AD178" s="645"/>
      <c r="AE178" s="645"/>
      <c r="AF178" s="645"/>
      <c r="AG178" s="645"/>
      <c r="AH178" s="645"/>
      <c r="AI178" s="645"/>
      <c r="AJ178" s="645"/>
      <c r="AK178" s="645"/>
      <c r="AL178" s="645"/>
      <c r="AM178" s="645"/>
      <c r="AN178" s="646"/>
      <c r="AX178" s="796"/>
      <c r="AY178" s="781" t="str">
        <f>IF('Fertilizer Cost LP Model'!P189="","",'Fertilizer Cost LP Model'!P189)</f>
        <v>AN</v>
      </c>
      <c r="AZ178" s="782" t="str">
        <f>IF('Fertilizer Cost LP Model'!Q189="","",'Fertilizer Cost LP Model'!Q189)</f>
        <v>DAP</v>
      </c>
      <c r="BA178" s="782" t="str">
        <f>IF('Fertilizer Cost LP Model'!R189="","",'Fertilizer Cost LP Model'!R189)</f>
        <v>MOP</v>
      </c>
      <c r="BB178" s="782" t="str">
        <f>IF('Fertilizer Cost LP Model'!S189="","",'Fertilizer Cost LP Model'!S189)</f>
        <v>POLY4</v>
      </c>
      <c r="BC178" s="782" t="str">
        <f>IF('Fertilizer Cost LP Model'!T189="","",'Fertilizer Cost LP Model'!T189)</f>
        <v/>
      </c>
      <c r="BD178" s="782" t="str">
        <f>IF('Fertilizer Cost LP Model'!U189="","",'Fertilizer Cost LP Model'!U189)</f>
        <v/>
      </c>
      <c r="BE178" s="782" t="str">
        <f>IF('Fertilizer Cost LP Model'!V189="","",'Fertilizer Cost LP Model'!V189)</f>
        <v/>
      </c>
      <c r="BF178" s="782" t="str">
        <f>IF('Fertilizer Cost LP Model'!W189="","",'Fertilizer Cost LP Model'!W189)</f>
        <v/>
      </c>
      <c r="BG178" s="782" t="str">
        <f>IF('Fertilizer Cost LP Model'!X189="","",'Fertilizer Cost LP Model'!X189)</f>
        <v/>
      </c>
      <c r="BH178" s="783" t="str">
        <f>IF('Fertilizer Cost LP Model'!Y189="","",'Fertilizer Cost LP Model'!Y189)</f>
        <v/>
      </c>
      <c r="BI178" s="933" t="s">
        <v>198</v>
      </c>
      <c r="BJ178" s="789"/>
    </row>
    <row r="179" spans="2:62" ht="10.199999999999999" customHeight="1">
      <c r="B179" s="715"/>
      <c r="C179" s="715"/>
      <c r="D179" s="715"/>
      <c r="E179" s="715"/>
      <c r="F179" s="715"/>
      <c r="G179" s="715"/>
      <c r="H179" s="715"/>
      <c r="I179" s="645"/>
      <c r="J179" s="645"/>
      <c r="K179" s="645"/>
      <c r="L179" s="645"/>
      <c r="M179" s="645"/>
      <c r="N179" s="645"/>
      <c r="O179" s="645"/>
      <c r="P179" s="645"/>
      <c r="Q179" s="645"/>
      <c r="R179" s="645"/>
      <c r="S179" s="645"/>
      <c r="T179" s="645"/>
      <c r="U179" s="645"/>
      <c r="V179" s="645"/>
      <c r="W179" s="645"/>
      <c r="X179" s="645"/>
      <c r="Y179" s="645"/>
      <c r="Z179" s="645"/>
      <c r="AA179" s="460"/>
      <c r="AB179" s="645"/>
      <c r="AC179" s="645"/>
      <c r="AD179" s="645"/>
      <c r="AE179" s="645"/>
      <c r="AF179" s="645"/>
      <c r="AG179" s="645"/>
      <c r="AH179" s="645"/>
      <c r="AI179" s="645"/>
      <c r="AJ179" s="645"/>
      <c r="AK179" s="645"/>
      <c r="AL179" s="645"/>
      <c r="AM179" s="645"/>
      <c r="AN179" s="646"/>
      <c r="AX179" s="798"/>
      <c r="AY179" s="781">
        <f>IFERROR(HLOOKUP(AY178,'Fertilizer Cost LP Model'!$B$17:$AA$18,2,FALSE),"")</f>
        <v>207</v>
      </c>
      <c r="AZ179" s="782">
        <f>IFERROR(HLOOKUP(AZ178,'Fertilizer Cost LP Model'!$B$17:$AA$18,2,FALSE),"")</f>
        <v>365</v>
      </c>
      <c r="BA179" s="782">
        <f>IFERROR(HLOOKUP(BA178,'Fertilizer Cost LP Model'!$B$17:$AA$18,2,FALSE),"")</f>
        <v>322</v>
      </c>
      <c r="BB179" s="782">
        <f>IFERROR(HLOOKUP(BB178,'Fertilizer Cost LP Model'!$B$17:$AA$18,2,FALSE),"")</f>
        <v>200</v>
      </c>
      <c r="BC179" s="782" t="str">
        <f>IFERROR(HLOOKUP(BC178,'Fertilizer Cost LP Model'!$B$17:$AA$18,2,FALSE),"")</f>
        <v/>
      </c>
      <c r="BD179" s="782" t="str">
        <f>IFERROR(HLOOKUP(BD178,'Fertilizer Cost LP Model'!$B$17:$AA$18,2,FALSE),"")</f>
        <v/>
      </c>
      <c r="BE179" s="782" t="str">
        <f>IFERROR(HLOOKUP(BE178,'Fertilizer Cost LP Model'!$B$17:$AA$18,2,FALSE),"")</f>
        <v/>
      </c>
      <c r="BF179" s="782" t="str">
        <f>IFERROR(HLOOKUP(BF178,'Fertilizer Cost LP Model'!$B$17:$AA$18,2,FALSE),"")</f>
        <v/>
      </c>
      <c r="BG179" s="782" t="str">
        <f>IFERROR(HLOOKUP(BG178,'Fertilizer Cost LP Model'!$B$17:$AA$18,2,FALSE),"")</f>
        <v/>
      </c>
      <c r="BH179" s="783" t="str">
        <f>IFERROR(HLOOKUP(BH178,'Fertilizer Cost LP Model'!$B$17:$AA$18,2,FALSE),"")</f>
        <v/>
      </c>
      <c r="BI179" s="953"/>
      <c r="BJ179" s="787"/>
    </row>
    <row r="180" spans="2:62" ht="10.199999999999999" customHeight="1">
      <c r="B180" s="715"/>
      <c r="C180" s="715"/>
      <c r="D180" s="715"/>
      <c r="E180" s="715"/>
      <c r="F180" s="715"/>
      <c r="G180" s="715"/>
      <c r="H180" s="715"/>
      <c r="I180" s="645"/>
      <c r="J180" s="645"/>
      <c r="K180" s="645"/>
      <c r="L180" s="645"/>
      <c r="M180" s="645"/>
      <c r="N180" s="645"/>
      <c r="O180" s="645"/>
      <c r="P180" s="645"/>
      <c r="Q180" s="645"/>
      <c r="R180" s="645"/>
      <c r="S180" s="645"/>
      <c r="T180" s="645"/>
      <c r="U180" s="645"/>
      <c r="V180" s="645"/>
      <c r="W180" s="645"/>
      <c r="X180" s="645"/>
      <c r="Y180" s="645"/>
      <c r="Z180" s="645"/>
      <c r="AA180" s="460"/>
      <c r="AB180" s="645"/>
      <c r="AC180" s="645"/>
      <c r="AD180" s="645"/>
      <c r="AE180" s="645"/>
      <c r="AF180" s="645"/>
      <c r="AG180" s="645"/>
      <c r="AH180" s="645"/>
      <c r="AI180" s="645"/>
      <c r="AJ180" s="645"/>
      <c r="AK180" s="645"/>
      <c r="AL180" s="645"/>
      <c r="AM180" s="645"/>
      <c r="AN180" s="646"/>
      <c r="AX180" s="1187" t="s">
        <v>152</v>
      </c>
      <c r="AY180" s="943">
        <f>IF('Fertilizer Cost LP Model'!P190="","",'Fertilizer Cost LP Model'!P190)</f>
        <v>473.14578299232733</v>
      </c>
      <c r="AZ180" s="943">
        <f>IF('Fertilizer Cost LP Model'!Q190="","",'Fertilizer Cost LP Model'!Q190)</f>
        <v>217.39130434782606</v>
      </c>
      <c r="BA180" s="943">
        <f>IF('Fertilizer Cost LP Model'!R190="","",'Fertilizer Cost LP Model'!R190)</f>
        <v>166.66666666666671</v>
      </c>
      <c r="BB180" s="943">
        <f>IF('Fertilizer Cost LP Model'!S190="","",'Fertilizer Cost LP Model'!S190)</f>
        <v>0</v>
      </c>
      <c r="BC180" s="943" t="str">
        <f>IF('Fertilizer Cost LP Model'!T190="","",'Fertilizer Cost LP Model'!T190)</f>
        <v/>
      </c>
      <c r="BD180" s="943" t="str">
        <f>IF('Fertilizer Cost LP Model'!U190="","",'Fertilizer Cost LP Model'!U190)</f>
        <v/>
      </c>
      <c r="BE180" s="943" t="str">
        <f>IF('Fertilizer Cost LP Model'!V190="","",'Fertilizer Cost LP Model'!V190)</f>
        <v/>
      </c>
      <c r="BF180" s="943" t="str">
        <f>IF('Fertilizer Cost LP Model'!W190="","",'Fertilizer Cost LP Model'!W190)</f>
        <v/>
      </c>
      <c r="BG180" s="943" t="str">
        <f>IF('Fertilizer Cost LP Model'!X190="","",'Fertilizer Cost LP Model'!X190)</f>
        <v/>
      </c>
      <c r="BH180" s="944" t="str">
        <f>IF('Fertilizer Cost LP Model'!Y190="","",'Fertilizer Cost LP Model'!Y190)</f>
        <v/>
      </c>
      <c r="BI180" s="781">
        <f>IF(SUM(AY180:BH180)=0,"",SUM(AY180:BH180))</f>
        <v>857.20375400682019</v>
      </c>
      <c r="BJ180" s="788"/>
    </row>
    <row r="181" spans="2:62" ht="10.199999999999999" customHeight="1">
      <c r="B181" s="671"/>
      <c r="C181" s="645"/>
      <c r="D181" s="645"/>
      <c r="E181" s="645"/>
      <c r="F181" s="645"/>
      <c r="G181" s="645"/>
      <c r="H181" s="645"/>
      <c r="I181" s="645"/>
      <c r="J181" s="645"/>
      <c r="K181" s="645"/>
      <c r="L181" s="645"/>
      <c r="M181" s="645"/>
      <c r="N181" s="645"/>
      <c r="O181" s="645"/>
      <c r="P181" s="645"/>
      <c r="Q181" s="645"/>
      <c r="R181" s="645"/>
      <c r="S181" s="645"/>
      <c r="T181" s="645"/>
      <c r="U181" s="645"/>
      <c r="V181" s="645"/>
      <c r="W181" s="645"/>
      <c r="X181" s="645"/>
      <c r="Y181" s="645"/>
      <c r="Z181" s="645"/>
      <c r="AA181" s="460"/>
      <c r="AB181" s="645"/>
      <c r="AC181" s="645"/>
      <c r="AD181" s="645"/>
      <c r="AE181" s="645"/>
      <c r="AF181" s="645"/>
      <c r="AG181" s="645"/>
      <c r="AH181" s="645"/>
      <c r="AI181" s="645"/>
      <c r="AJ181" s="645"/>
      <c r="AK181" s="645"/>
      <c r="AL181" s="645"/>
      <c r="AM181" s="645"/>
      <c r="AN181" s="646"/>
      <c r="AX181" s="1171"/>
      <c r="AY181" s="940"/>
      <c r="AZ181" s="940"/>
      <c r="BA181" s="940"/>
      <c r="BB181" s="940"/>
      <c r="BC181" s="940"/>
      <c r="BD181" s="940"/>
      <c r="BE181" s="940"/>
      <c r="BF181" s="940"/>
      <c r="BG181" s="940"/>
      <c r="BH181" s="941"/>
      <c r="BI181" s="954" t="s">
        <v>187</v>
      </c>
      <c r="BJ181" s="784" t="s">
        <v>151</v>
      </c>
    </row>
    <row r="182" spans="2:62" ht="10.199999999999999" customHeight="1">
      <c r="B182" s="671"/>
      <c r="C182" s="645"/>
      <c r="D182" s="645"/>
      <c r="E182" s="645"/>
      <c r="F182" s="645"/>
      <c r="G182" s="645"/>
      <c r="H182" s="645"/>
      <c r="I182" s="645"/>
      <c r="J182" s="645"/>
      <c r="K182" s="645"/>
      <c r="L182" s="645"/>
      <c r="M182" s="645"/>
      <c r="N182" s="645"/>
      <c r="O182" s="645"/>
      <c r="P182" s="645"/>
      <c r="Q182" s="645"/>
      <c r="R182" s="645"/>
      <c r="S182" s="645"/>
      <c r="T182" s="645"/>
      <c r="U182" s="645"/>
      <c r="V182" s="645"/>
      <c r="W182" s="645"/>
      <c r="X182" s="645"/>
      <c r="Y182" s="645"/>
      <c r="Z182" s="645"/>
      <c r="AA182" s="460"/>
      <c r="AB182" s="645"/>
      <c r="AC182" s="645"/>
      <c r="AD182" s="645"/>
      <c r="AE182" s="645"/>
      <c r="AF182" s="645"/>
      <c r="AG182" s="645"/>
      <c r="AH182" s="645"/>
      <c r="AI182" s="645"/>
      <c r="AJ182" s="645"/>
      <c r="AK182" s="645"/>
      <c r="AL182" s="645"/>
      <c r="AM182" s="645"/>
      <c r="AN182" s="646"/>
      <c r="AX182" s="798"/>
      <c r="AY182" s="945" t="s">
        <v>154</v>
      </c>
      <c r="AZ182" s="946" t="s">
        <v>180</v>
      </c>
      <c r="BA182" s="946" t="s">
        <v>181</v>
      </c>
      <c r="BB182" s="946" t="s">
        <v>83</v>
      </c>
      <c r="BC182" s="946" t="s">
        <v>11</v>
      </c>
      <c r="BD182" s="946" t="s">
        <v>12</v>
      </c>
      <c r="BE182" s="946" t="s">
        <v>14</v>
      </c>
      <c r="BF182" s="946" t="s">
        <v>38</v>
      </c>
      <c r="BG182" s="946" t="s">
        <v>145</v>
      </c>
      <c r="BH182" s="947" t="s">
        <v>13</v>
      </c>
      <c r="BI182" s="1166">
        <f>'Fertilizer Cost LP Model'!Z192</f>
        <v>244.84237064794547</v>
      </c>
      <c r="BJ182" s="1168" t="str">
        <f>IFERROR(IF(AA30="","",AA30),"")</f>
        <v/>
      </c>
    </row>
    <row r="183" spans="2:62" ht="10.199999999999999" customHeight="1" thickBot="1">
      <c r="B183" s="671"/>
      <c r="C183" s="645"/>
      <c r="D183" s="645"/>
      <c r="E183" s="645"/>
      <c r="F183" s="645"/>
      <c r="G183" s="645"/>
      <c r="H183" s="645"/>
      <c r="I183" s="645"/>
      <c r="J183" s="645"/>
      <c r="K183" s="645"/>
      <c r="L183" s="645"/>
      <c r="M183" s="645"/>
      <c r="N183" s="645"/>
      <c r="O183" s="645"/>
      <c r="P183" s="645"/>
      <c r="Q183" s="645"/>
      <c r="R183" s="645"/>
      <c r="S183" s="645"/>
      <c r="T183" s="645"/>
      <c r="U183" s="645"/>
      <c r="V183" s="645"/>
      <c r="W183" s="645"/>
      <c r="X183" s="645"/>
      <c r="Y183" s="645"/>
      <c r="Z183" s="645"/>
      <c r="AA183" s="460"/>
      <c r="AB183" s="645"/>
      <c r="AC183" s="645"/>
      <c r="AD183" s="645"/>
      <c r="AE183" s="645"/>
      <c r="AF183" s="645"/>
      <c r="AG183" s="645"/>
      <c r="AH183" s="645"/>
      <c r="AI183" s="645"/>
      <c r="AJ183" s="645"/>
      <c r="AK183" s="645"/>
      <c r="AL183" s="645"/>
      <c r="AM183" s="645"/>
      <c r="AN183" s="646"/>
      <c r="AX183" s="800"/>
      <c r="AY183" s="792">
        <f>IF('Fertilizer Cost LP Model'!P193="","",'Fertilizer Cost LP Model'!P193)</f>
        <v>200.000001</v>
      </c>
      <c r="AZ183" s="793">
        <f>IF('Fertilizer Cost LP Model'!Q193="","",'Fertilizer Cost LP Model'!Q193)</f>
        <v>100</v>
      </c>
      <c r="BA183" s="793">
        <f>IF('Fertilizer Cost LP Model'!R193="","",'Fertilizer Cost LP Model'!R193)</f>
        <v>100.00000000000003</v>
      </c>
      <c r="BB183" s="793">
        <f>IF('Fertilizer Cost LP Model'!S193="","",'Fertilizer Cost LP Model'!S193)</f>
        <v>0</v>
      </c>
      <c r="BC183" s="793">
        <f>IF('Fertilizer Cost LP Model'!T193="","",'Fertilizer Cost LP Model'!T193)</f>
        <v>0</v>
      </c>
      <c r="BD183" s="793">
        <f>IF('Fertilizer Cost LP Model'!U193="","",'Fertilizer Cost LP Model'!U193)</f>
        <v>0</v>
      </c>
      <c r="BE183" s="793">
        <f>IF('Fertilizer Cost LP Model'!V193="","",'Fertilizer Cost LP Model'!V193)</f>
        <v>0</v>
      </c>
      <c r="BF183" s="793">
        <f>IF('Fertilizer Cost LP Model'!W193="","",'Fertilizer Cost LP Model'!W193)</f>
        <v>0</v>
      </c>
      <c r="BG183" s="793">
        <f>IF('Fertilizer Cost LP Model'!X193="","",'Fertilizer Cost LP Model'!X193)</f>
        <v>0</v>
      </c>
      <c r="BH183" s="948">
        <f>IF('Fertilizer Cost LP Model'!Y193="","",'Fertilizer Cost LP Model'!Y193)</f>
        <v>80.000000000000014</v>
      </c>
      <c r="BI183" s="1167"/>
      <c r="BJ183" s="1169"/>
    </row>
    <row r="184" spans="2:62" ht="10.199999999999999" customHeight="1" thickBot="1">
      <c r="B184" s="671"/>
      <c r="C184" s="645"/>
      <c r="D184" s="645"/>
      <c r="E184" s="645"/>
      <c r="F184" s="645"/>
      <c r="G184" s="645"/>
      <c r="H184" s="645"/>
      <c r="I184" s="645"/>
      <c r="J184" s="645"/>
      <c r="K184" s="645"/>
      <c r="L184" s="645"/>
      <c r="M184" s="645"/>
      <c r="N184" s="645"/>
      <c r="O184" s="645"/>
      <c r="P184" s="645"/>
      <c r="Q184" s="645"/>
      <c r="R184" s="645"/>
      <c r="S184" s="645"/>
      <c r="T184" s="645"/>
      <c r="U184" s="645"/>
      <c r="V184" s="645"/>
      <c r="W184" s="645"/>
      <c r="X184" s="645"/>
      <c r="Y184" s="645"/>
      <c r="Z184" s="645"/>
      <c r="AA184" s="460"/>
      <c r="AB184" s="645"/>
      <c r="AC184" s="645"/>
      <c r="AD184" s="645"/>
      <c r="AE184" s="645"/>
      <c r="AF184" s="645"/>
      <c r="AG184" s="645"/>
      <c r="AH184" s="645"/>
      <c r="AI184" s="645"/>
      <c r="AJ184" s="645"/>
      <c r="AK184" s="645"/>
      <c r="AL184" s="645"/>
      <c r="AM184" s="645"/>
      <c r="AN184" s="646"/>
      <c r="AX184" s="798"/>
      <c r="AY184" s="942"/>
      <c r="AZ184" s="942"/>
      <c r="BA184" s="942"/>
      <c r="BB184" s="942"/>
      <c r="BC184" s="942"/>
      <c r="BD184" s="942"/>
      <c r="BE184" s="942"/>
      <c r="BF184" s="942"/>
      <c r="BG184" s="942"/>
      <c r="BH184" s="942"/>
      <c r="BI184" s="942"/>
      <c r="BJ184" s="786"/>
    </row>
    <row r="185" spans="2:62" ht="10.199999999999999" customHeight="1">
      <c r="B185" s="671"/>
      <c r="C185" s="645"/>
      <c r="D185" s="645"/>
      <c r="E185" s="645"/>
      <c r="F185" s="645"/>
      <c r="G185" s="645"/>
      <c r="H185" s="645"/>
      <c r="I185" s="645"/>
      <c r="J185" s="645"/>
      <c r="K185" s="645"/>
      <c r="L185" s="645"/>
      <c r="M185" s="645"/>
      <c r="N185" s="645"/>
      <c r="O185" s="645"/>
      <c r="P185" s="645"/>
      <c r="Q185" s="645"/>
      <c r="R185" s="645"/>
      <c r="S185" s="645"/>
      <c r="T185" s="645"/>
      <c r="U185" s="645"/>
      <c r="V185" s="645"/>
      <c r="W185" s="645"/>
      <c r="X185" s="645"/>
      <c r="Y185" s="645"/>
      <c r="Z185" s="645"/>
      <c r="AA185" s="460"/>
      <c r="AB185" s="645"/>
      <c r="AC185" s="645"/>
      <c r="AD185" s="645"/>
      <c r="AE185" s="645"/>
      <c r="AF185" s="645"/>
      <c r="AG185" s="645"/>
      <c r="AH185" s="645"/>
      <c r="AI185" s="645"/>
      <c r="AJ185" s="645"/>
      <c r="AK185" s="645"/>
      <c r="AL185" s="645"/>
      <c r="AM185" s="645"/>
      <c r="AN185" s="646"/>
      <c r="AX185" s="801"/>
      <c r="AY185" s="932" t="str">
        <f>IF('Fertilizer Cost LP Model'!C197="","",'Fertilizer Cost LP Model'!C197)</f>
        <v>AN</v>
      </c>
      <c r="AZ185" s="933" t="str">
        <f>IF('Fertilizer Cost LP Model'!D197="","",'Fertilizer Cost LP Model'!D197)</f>
        <v>AS</v>
      </c>
      <c r="BA185" s="933" t="str">
        <f>IF('Fertilizer Cost LP Model'!E197="","",'Fertilizer Cost LP Model'!E197)</f>
        <v>DAP</v>
      </c>
      <c r="BB185" s="933" t="str">
        <f>IF('Fertilizer Cost LP Model'!F197="","",'Fertilizer Cost LP Model'!F197)</f>
        <v>MOP</v>
      </c>
      <c r="BC185" s="933" t="str">
        <f>IF('Fertilizer Cost LP Model'!G197="","",'Fertilizer Cost LP Model'!G197)</f>
        <v>Kieserite</v>
      </c>
      <c r="BD185" s="933" t="str">
        <f>IF('Fertilizer Cost LP Model'!H197="","",'Fertilizer Cost LP Model'!H197)</f>
        <v/>
      </c>
      <c r="BE185" s="933" t="str">
        <f>IF('Fertilizer Cost LP Model'!I197="","",'Fertilizer Cost LP Model'!I197)</f>
        <v/>
      </c>
      <c r="BF185" s="933" t="str">
        <f>IF('Fertilizer Cost LP Model'!J197="","",'Fertilizer Cost LP Model'!J197)</f>
        <v/>
      </c>
      <c r="BG185" s="933" t="str">
        <f>IF('Fertilizer Cost LP Model'!K197="","",'Fertilizer Cost LP Model'!K197)</f>
        <v/>
      </c>
      <c r="BH185" s="934" t="str">
        <f>IF('Fertilizer Cost LP Model'!L197="","",'Fertilizer Cost LP Model'!L197)</f>
        <v/>
      </c>
      <c r="BI185" s="933" t="s">
        <v>198</v>
      </c>
      <c r="BJ185" s="785"/>
    </row>
    <row r="186" spans="2:62" ht="10.199999999999999" customHeight="1">
      <c r="B186" s="671"/>
      <c r="C186" s="645"/>
      <c r="D186" s="645"/>
      <c r="E186" s="645"/>
      <c r="F186" s="645"/>
      <c r="G186" s="645"/>
      <c r="H186" s="645"/>
      <c r="I186" s="645"/>
      <c r="J186" s="645"/>
      <c r="K186" s="645"/>
      <c r="L186" s="645"/>
      <c r="M186" s="645"/>
      <c r="N186" s="645"/>
      <c r="O186" s="645"/>
      <c r="P186" s="645"/>
      <c r="Q186" s="645"/>
      <c r="R186" s="645"/>
      <c r="S186" s="645"/>
      <c r="T186" s="645"/>
      <c r="U186" s="645"/>
      <c r="V186" s="645"/>
      <c r="W186" s="645"/>
      <c r="X186" s="645"/>
      <c r="Y186" s="645"/>
      <c r="Z186" s="645"/>
      <c r="AA186" s="460"/>
      <c r="AB186" s="645"/>
      <c r="AC186" s="645"/>
      <c r="AD186" s="645"/>
      <c r="AE186" s="645"/>
      <c r="AF186" s="645"/>
      <c r="AG186" s="645"/>
      <c r="AH186" s="645"/>
      <c r="AI186" s="645"/>
      <c r="AJ186" s="645"/>
      <c r="AK186" s="645"/>
      <c r="AL186" s="645"/>
      <c r="AM186" s="645"/>
      <c r="AN186" s="646"/>
      <c r="AX186" s="802"/>
      <c r="AY186" s="790">
        <f>IFERROR(HLOOKUP(AY185,'Fertilizer Cost LP Model'!$B$17:$AA$18,2,FALSE),"")</f>
        <v>207</v>
      </c>
      <c r="AZ186" s="791">
        <f>IFERROR(HLOOKUP(AZ185,'Fertilizer Cost LP Model'!$B$17:$AA$18,2,FALSE),"")</f>
        <v>177</v>
      </c>
      <c r="BA186" s="791">
        <f>IFERROR(HLOOKUP(BA185,'Fertilizer Cost LP Model'!$B$17:$AA$18,2,FALSE),"")</f>
        <v>365</v>
      </c>
      <c r="BB186" s="791">
        <f>IFERROR(HLOOKUP(BB185,'Fertilizer Cost LP Model'!$B$17:$AA$18,2,FALSE),"")</f>
        <v>322</v>
      </c>
      <c r="BC186" s="791">
        <f>IFERROR(HLOOKUP(BC185,'Fertilizer Cost LP Model'!$B$17:$AA$18,2,FALSE),"")</f>
        <v>250</v>
      </c>
      <c r="BD186" s="791" t="str">
        <f>IFERROR(HLOOKUP(BD185,'Fertilizer Cost LP Model'!$B$17:$AA$18,2,FALSE),"")</f>
        <v/>
      </c>
      <c r="BE186" s="791" t="str">
        <f>IFERROR(HLOOKUP(BE185,'Fertilizer Cost LP Model'!$B$17:$AA$18,2,FALSE),"")</f>
        <v/>
      </c>
      <c r="BF186" s="791" t="str">
        <f>IFERROR(HLOOKUP(BF185,'Fertilizer Cost LP Model'!$B$17:$AA$18,2,FALSE),"")</f>
        <v/>
      </c>
      <c r="BG186" s="791" t="str">
        <f>IFERROR(HLOOKUP(BG185,'Fertilizer Cost LP Model'!$B$17:$AA$18,2,FALSE),"")</f>
        <v/>
      </c>
      <c r="BH186" s="935" t="str">
        <f>IFERROR(HLOOKUP(BH185,'Fertilizer Cost LP Model'!$B$17:$AA$18,2,FALSE),"")</f>
        <v/>
      </c>
      <c r="BI186" s="953"/>
      <c r="BJ186" s="787"/>
    </row>
    <row r="187" spans="2:62" ht="10.199999999999999" customHeight="1">
      <c r="B187" s="677" t="s">
        <v>87</v>
      </c>
      <c r="C187" s="630"/>
      <c r="D187" s="630"/>
      <c r="E187" s="630"/>
      <c r="F187" s="630"/>
      <c r="G187" s="630"/>
      <c r="H187" s="630"/>
      <c r="I187" s="630"/>
      <c r="J187" s="630"/>
      <c r="K187" s="630"/>
      <c r="L187" s="630"/>
      <c r="M187" s="678"/>
      <c r="N187" s="777"/>
      <c r="O187" s="680" t="s">
        <v>148</v>
      </c>
      <c r="P187" s="665"/>
      <c r="Q187" s="665"/>
      <c r="R187" s="665"/>
      <c r="S187" s="665"/>
      <c r="T187" s="665"/>
      <c r="U187" s="665"/>
      <c r="V187" s="665"/>
      <c r="W187" s="665"/>
      <c r="X187" s="665"/>
      <c r="Y187" s="665"/>
      <c r="Z187" s="665"/>
      <c r="AA187" s="666"/>
      <c r="AB187" s="645"/>
      <c r="AC187" s="645"/>
      <c r="AD187" s="645"/>
      <c r="AE187" s="645"/>
      <c r="AF187" s="645"/>
      <c r="AG187" s="645"/>
      <c r="AH187" s="645"/>
      <c r="AI187" s="645"/>
      <c r="AJ187" s="645"/>
      <c r="AK187" s="645"/>
      <c r="AL187" s="645"/>
      <c r="AM187" s="645"/>
      <c r="AN187" s="646"/>
      <c r="AX187" s="1170" t="s">
        <v>179</v>
      </c>
      <c r="AY187" s="936">
        <f>IF('Fertilizer Cost LP Model'!C198="","",'Fertilizer Cost LP Model'!C198)</f>
        <v>473.14578299232733</v>
      </c>
      <c r="AZ187" s="937">
        <f>IF('Fertilizer Cost LP Model'!D198="","",'Fertilizer Cost LP Model'!D198)</f>
        <v>0</v>
      </c>
      <c r="BA187" s="937">
        <f>IF('Fertilizer Cost LP Model'!E198="","",'Fertilizer Cost LP Model'!E198)</f>
        <v>217.39130434782609</v>
      </c>
      <c r="BB187" s="937">
        <f>IF('Fertilizer Cost LP Model'!F198="","",'Fertilizer Cost LP Model'!F198)</f>
        <v>166.66666666666671</v>
      </c>
      <c r="BC187" s="937">
        <f>IF('Fertilizer Cost LP Model'!G198="","",'Fertilizer Cost LP Model'!G198)</f>
        <v>120</v>
      </c>
      <c r="BD187" s="937" t="str">
        <f>IF('Fertilizer Cost LP Model'!H198="","",'Fertilizer Cost LP Model'!H198)</f>
        <v/>
      </c>
      <c r="BE187" s="937" t="str">
        <f>IF('Fertilizer Cost LP Model'!I198="","",'Fertilizer Cost LP Model'!I198)</f>
        <v/>
      </c>
      <c r="BF187" s="937" t="str">
        <f>IF('Fertilizer Cost LP Model'!J198="","",'Fertilizer Cost LP Model'!J198)</f>
        <v/>
      </c>
      <c r="BG187" s="937" t="str">
        <f>IF('Fertilizer Cost LP Model'!K198="","",'Fertilizer Cost LP Model'!K198)</f>
        <v/>
      </c>
      <c r="BH187" s="938" t="str">
        <f>IF('Fertilizer Cost LP Model'!L198="","",'Fertilizer Cost LP Model'!L198)</f>
        <v/>
      </c>
      <c r="BI187" s="781">
        <f>IF(SUM(AY187:BH187)=0,"",SUM(AY187:BH187))</f>
        <v>977.20375400682019</v>
      </c>
      <c r="BJ187" s="788"/>
    </row>
    <row r="188" spans="2:62" ht="10.199999999999999" customHeight="1">
      <c r="B188" s="681"/>
      <c r="C188" s="682" t="s">
        <v>0</v>
      </c>
      <c r="D188" s="682" t="s">
        <v>1</v>
      </c>
      <c r="E188" s="682" t="s">
        <v>2</v>
      </c>
      <c r="F188" s="682" t="s">
        <v>3</v>
      </c>
      <c r="G188" s="682" t="s">
        <v>4</v>
      </c>
      <c r="H188" s="682" t="s">
        <v>5</v>
      </c>
      <c r="I188" s="682" t="s">
        <v>6</v>
      </c>
      <c r="J188" s="682" t="s">
        <v>7</v>
      </c>
      <c r="K188" s="682" t="s">
        <v>8</v>
      </c>
      <c r="L188" s="682" t="s">
        <v>149</v>
      </c>
      <c r="M188" s="682" t="s">
        <v>150</v>
      </c>
      <c r="N188" s="679"/>
      <c r="O188" s="890"/>
      <c r="P188" s="683" t="s">
        <v>0</v>
      </c>
      <c r="Q188" s="683" t="s">
        <v>1</v>
      </c>
      <c r="R188" s="683" t="s">
        <v>2</v>
      </c>
      <c r="S188" s="683" t="s">
        <v>3</v>
      </c>
      <c r="T188" s="683" t="s">
        <v>4</v>
      </c>
      <c r="U188" s="683" t="s">
        <v>5</v>
      </c>
      <c r="V188" s="683" t="s">
        <v>6</v>
      </c>
      <c r="W188" s="683" t="s">
        <v>7</v>
      </c>
      <c r="X188" s="683" t="s">
        <v>8</v>
      </c>
      <c r="Y188" s="683" t="s">
        <v>149</v>
      </c>
      <c r="Z188" s="684" t="s">
        <v>150</v>
      </c>
      <c r="AA188" s="685" t="s">
        <v>151</v>
      </c>
      <c r="AB188" s="645"/>
      <c r="AC188" s="645"/>
      <c r="AD188" s="645"/>
      <c r="AE188" s="645"/>
      <c r="AF188" s="645"/>
      <c r="AG188" s="645"/>
      <c r="AH188" s="645"/>
      <c r="AI188" s="645"/>
      <c r="AJ188" s="645"/>
      <c r="AK188" s="645"/>
      <c r="AL188" s="645"/>
      <c r="AM188" s="645"/>
      <c r="AN188" s="646"/>
      <c r="AX188" s="1171"/>
      <c r="AY188" s="939"/>
      <c r="AZ188" s="940"/>
      <c r="BA188" s="940"/>
      <c r="BB188" s="940"/>
      <c r="BC188" s="940"/>
      <c r="BD188" s="940"/>
      <c r="BE188" s="940"/>
      <c r="BF188" s="940"/>
      <c r="BG188" s="940"/>
      <c r="BH188" s="941"/>
      <c r="BI188" s="954" t="s">
        <v>187</v>
      </c>
      <c r="BJ188" s="784"/>
    </row>
    <row r="189" spans="2:62" ht="10.199999999999999" customHeight="1">
      <c r="B189" s="686"/>
      <c r="C189" s="769" t="s">
        <v>22</v>
      </c>
      <c r="D189" s="769" t="s">
        <v>21</v>
      </c>
      <c r="E189" s="769" t="s">
        <v>78</v>
      </c>
      <c r="F189" s="769" t="s">
        <v>43</v>
      </c>
      <c r="G189" s="769" t="s">
        <v>140</v>
      </c>
      <c r="H189" s="769"/>
      <c r="I189" s="769"/>
      <c r="J189" s="769"/>
      <c r="K189" s="769"/>
      <c r="L189" s="769"/>
      <c r="M189" s="688"/>
      <c r="N189" s="679"/>
      <c r="O189" s="686"/>
      <c r="P189" s="773" t="s">
        <v>22</v>
      </c>
      <c r="Q189" s="773" t="s">
        <v>78</v>
      </c>
      <c r="R189" s="773" t="s">
        <v>43</v>
      </c>
      <c r="S189" s="773" t="s">
        <v>9</v>
      </c>
      <c r="T189" s="773"/>
      <c r="U189" s="773"/>
      <c r="V189" s="773"/>
      <c r="W189" s="773"/>
      <c r="X189" s="773"/>
      <c r="Y189" s="773"/>
      <c r="Z189" s="690"/>
      <c r="AA189" s="675"/>
      <c r="AB189" s="645"/>
      <c r="AC189" s="645"/>
      <c r="AD189" s="645"/>
      <c r="AE189" s="645"/>
      <c r="AF189" s="645"/>
      <c r="AG189" s="645"/>
      <c r="AH189" s="645"/>
      <c r="AI189" s="645"/>
      <c r="AJ189" s="645"/>
      <c r="AK189" s="645"/>
      <c r="AL189" s="645"/>
      <c r="AM189" s="645"/>
      <c r="AN189" s="646"/>
      <c r="AX189" s="802"/>
      <c r="AY189" s="781" t="s">
        <v>154</v>
      </c>
      <c r="AZ189" s="782" t="s">
        <v>180</v>
      </c>
      <c r="BA189" s="782" t="s">
        <v>181</v>
      </c>
      <c r="BB189" s="782" t="s">
        <v>83</v>
      </c>
      <c r="BC189" s="782" t="s">
        <v>11</v>
      </c>
      <c r="BD189" s="782" t="s">
        <v>12</v>
      </c>
      <c r="BE189" s="782" t="s">
        <v>14</v>
      </c>
      <c r="BF189" s="782" t="s">
        <v>38</v>
      </c>
      <c r="BG189" s="782" t="s">
        <v>145</v>
      </c>
      <c r="BH189" s="783" t="s">
        <v>13</v>
      </c>
      <c r="BI189" s="1166">
        <f>'Fertilizer Cost LP Model'!M200</f>
        <v>276.78637064794543</v>
      </c>
      <c r="BJ189" s="892"/>
    </row>
    <row r="190" spans="2:62" ht="10.199999999999999" customHeight="1">
      <c r="B190" s="1173" t="s">
        <v>152</v>
      </c>
      <c r="C190" s="901">
        <v>473.14578299232733</v>
      </c>
      <c r="D190" s="901">
        <v>0</v>
      </c>
      <c r="E190" s="901">
        <v>217.39130434782609</v>
      </c>
      <c r="F190" s="901">
        <v>166.66666666666671</v>
      </c>
      <c r="G190" s="901">
        <v>120</v>
      </c>
      <c r="H190" s="901"/>
      <c r="I190" s="901"/>
      <c r="J190" s="901"/>
      <c r="K190" s="901"/>
      <c r="L190" s="901"/>
      <c r="M190" s="691"/>
      <c r="N190" s="679"/>
      <c r="O190" s="1173" t="s">
        <v>152</v>
      </c>
      <c r="P190" s="896">
        <v>473.14578299232733</v>
      </c>
      <c r="Q190" s="896">
        <v>217.39130434782606</v>
      </c>
      <c r="R190" s="896">
        <v>166.66666666666671</v>
      </c>
      <c r="S190" s="896">
        <v>0</v>
      </c>
      <c r="T190" s="896"/>
      <c r="U190" s="896"/>
      <c r="V190" s="896"/>
      <c r="W190" s="896"/>
      <c r="X190" s="896"/>
      <c r="Y190" s="896"/>
      <c r="Z190" s="691"/>
      <c r="AA190" s="1175"/>
      <c r="AB190" s="645"/>
      <c r="AC190" s="645"/>
      <c r="AD190" s="645"/>
      <c r="AE190" s="645"/>
      <c r="AF190" s="645"/>
      <c r="AG190" s="645"/>
      <c r="AH190" s="645"/>
      <c r="AI190" s="645"/>
      <c r="AJ190" s="645"/>
      <c r="AK190" s="645"/>
      <c r="AL190" s="645"/>
      <c r="AM190" s="645"/>
      <c r="AN190" s="646"/>
      <c r="AX190" s="803"/>
      <c r="AY190" s="790">
        <f>IF('Fertilizer Cost LP Model'!C201="","",'Fertilizer Cost LP Model'!C201)</f>
        <v>200.000001</v>
      </c>
      <c r="AZ190" s="791">
        <f>IF('Fertilizer Cost LP Model'!D201="","",'Fertilizer Cost LP Model'!D201)</f>
        <v>100.00000000000001</v>
      </c>
      <c r="BA190" s="791">
        <f>IF('Fertilizer Cost LP Model'!E201="","",'Fertilizer Cost LP Model'!E201)</f>
        <v>100.00000000000003</v>
      </c>
      <c r="BB190" s="791">
        <f>IF('Fertilizer Cost LP Model'!F201="","",'Fertilizer Cost LP Model'!F201)</f>
        <v>24</v>
      </c>
      <c r="BC190" s="791">
        <f>IF('Fertilizer Cost LP Model'!G201="","",'Fertilizer Cost LP Model'!G201)</f>
        <v>30</v>
      </c>
      <c r="BD190" s="791">
        <f>IF('Fertilizer Cost LP Model'!H201="","",'Fertilizer Cost LP Model'!H201)</f>
        <v>0</v>
      </c>
      <c r="BE190" s="791">
        <f>IF('Fertilizer Cost LP Model'!I201="","",'Fertilizer Cost LP Model'!I201)</f>
        <v>0</v>
      </c>
      <c r="BF190" s="791">
        <f>IF('Fertilizer Cost LP Model'!J201="","",'Fertilizer Cost LP Model'!J201)</f>
        <v>0</v>
      </c>
      <c r="BG190" s="791">
        <f>IF('Fertilizer Cost LP Model'!K201="","",'Fertilizer Cost LP Model'!K201)</f>
        <v>0</v>
      </c>
      <c r="BH190" s="935">
        <f>IF('Fertilizer Cost LP Model'!L201="","",'Fertilizer Cost LP Model'!L201)</f>
        <v>80.000000000000014</v>
      </c>
      <c r="BI190" s="1189"/>
      <c r="BJ190" s="794"/>
    </row>
    <row r="191" spans="2:62" ht="10.199999999999999" customHeight="1" thickBot="1">
      <c r="B191" s="1174"/>
      <c r="C191" s="692">
        <f>IFERROR(HLOOKUP(C189,$B$17:$AA$18,2,FALSE),"")</f>
        <v>207</v>
      </c>
      <c r="D191" s="692">
        <f t="shared" ref="D191:L191" si="41">IFERROR(HLOOKUP(D189,$B$17:$AA$18,2,FALSE),"")</f>
        <v>177</v>
      </c>
      <c r="E191" s="692">
        <f t="shared" si="41"/>
        <v>365</v>
      </c>
      <c r="F191" s="692">
        <f t="shared" si="41"/>
        <v>322</v>
      </c>
      <c r="G191" s="692">
        <f t="shared" si="41"/>
        <v>250</v>
      </c>
      <c r="H191" s="692" t="str">
        <f t="shared" si="41"/>
        <v/>
      </c>
      <c r="I191" s="692" t="str">
        <f t="shared" si="41"/>
        <v/>
      </c>
      <c r="J191" s="692" t="str">
        <f t="shared" si="41"/>
        <v/>
      </c>
      <c r="K191" s="692" t="str">
        <f t="shared" si="41"/>
        <v/>
      </c>
      <c r="L191" s="692" t="str">
        <f t="shared" si="41"/>
        <v/>
      </c>
      <c r="M191" s="682" t="s">
        <v>187</v>
      </c>
      <c r="N191" s="679"/>
      <c r="O191" s="1174"/>
      <c r="P191" s="692">
        <f>IFERROR(HLOOKUP(P189,$B$17:$AA$18,2,FALSE),"")</f>
        <v>207</v>
      </c>
      <c r="Q191" s="692">
        <f t="shared" ref="Q191:Y191" si="42">IFERROR(HLOOKUP(Q189,$B$17:$AA$18,2,FALSE),"")</f>
        <v>365</v>
      </c>
      <c r="R191" s="692">
        <f t="shared" si="42"/>
        <v>322</v>
      </c>
      <c r="S191" s="692">
        <f t="shared" si="42"/>
        <v>200</v>
      </c>
      <c r="T191" s="692" t="str">
        <f t="shared" si="42"/>
        <v/>
      </c>
      <c r="U191" s="692" t="str">
        <f t="shared" si="42"/>
        <v/>
      </c>
      <c r="V191" s="692" t="str">
        <f t="shared" si="42"/>
        <v/>
      </c>
      <c r="W191" s="692" t="str">
        <f t="shared" si="42"/>
        <v/>
      </c>
      <c r="X191" s="692" t="str">
        <f t="shared" si="42"/>
        <v/>
      </c>
      <c r="Y191" s="692" t="str">
        <f t="shared" si="42"/>
        <v/>
      </c>
      <c r="Z191" s="684" t="s">
        <v>187</v>
      </c>
      <c r="AA191" s="1176"/>
      <c r="AB191" s="645"/>
      <c r="AC191" s="645"/>
      <c r="AD191" s="645"/>
      <c r="AE191" s="645"/>
      <c r="AF191" s="645"/>
      <c r="AG191" s="645"/>
      <c r="AH191" s="645"/>
      <c r="AI191" s="645"/>
      <c r="AJ191" s="645"/>
      <c r="AK191" s="645"/>
      <c r="AL191" s="645"/>
      <c r="AM191" s="645"/>
      <c r="AN191" s="646"/>
      <c r="AX191" s="797"/>
      <c r="AY191" s="949"/>
      <c r="AZ191" s="949"/>
      <c r="BA191" s="949"/>
      <c r="BB191" s="949"/>
      <c r="BC191" s="949"/>
      <c r="BD191" s="949"/>
      <c r="BE191" s="949"/>
      <c r="BF191" s="949"/>
      <c r="BG191" s="949"/>
      <c r="BH191" s="949"/>
      <c r="BI191" s="949"/>
      <c r="BJ191" s="795"/>
    </row>
    <row r="192" spans="2:62" ht="10.199999999999999" customHeight="1">
      <c r="B192" s="686"/>
      <c r="C192" s="695" t="s">
        <v>154</v>
      </c>
      <c r="D192" s="695" t="s">
        <v>155</v>
      </c>
      <c r="E192" s="695" t="s">
        <v>156</v>
      </c>
      <c r="F192" s="695" t="s">
        <v>83</v>
      </c>
      <c r="G192" s="695" t="s">
        <v>11</v>
      </c>
      <c r="H192" s="695" t="s">
        <v>12</v>
      </c>
      <c r="I192" s="695" t="s">
        <v>14</v>
      </c>
      <c r="J192" s="695" t="s">
        <v>38</v>
      </c>
      <c r="K192" s="695" t="s">
        <v>145</v>
      </c>
      <c r="L192" s="695" t="s">
        <v>13</v>
      </c>
      <c r="M192" s="1177">
        <v>276.78637064794543</v>
      </c>
      <c r="N192" s="679"/>
      <c r="O192" s="686"/>
      <c r="P192" s="696" t="s">
        <v>154</v>
      </c>
      <c r="Q192" s="696" t="s">
        <v>155</v>
      </c>
      <c r="R192" s="696" t="s">
        <v>156</v>
      </c>
      <c r="S192" s="696" t="s">
        <v>83</v>
      </c>
      <c r="T192" s="696" t="s">
        <v>11</v>
      </c>
      <c r="U192" s="696" t="s">
        <v>12</v>
      </c>
      <c r="V192" s="696" t="s">
        <v>14</v>
      </c>
      <c r="W192" s="696" t="s">
        <v>38</v>
      </c>
      <c r="X192" s="696" t="s">
        <v>145</v>
      </c>
      <c r="Y192" s="696" t="s">
        <v>13</v>
      </c>
      <c r="Z192" s="1179">
        <v>244.84237064794547</v>
      </c>
      <c r="AA192" s="1181"/>
      <c r="AB192" s="645"/>
      <c r="AC192" s="645"/>
      <c r="AD192" s="645"/>
      <c r="AE192" s="645"/>
      <c r="AF192" s="645"/>
      <c r="AG192" s="645"/>
      <c r="AH192" s="645"/>
      <c r="AI192" s="645"/>
      <c r="AJ192" s="645"/>
      <c r="AK192" s="645"/>
      <c r="AL192" s="645"/>
      <c r="AM192" s="645"/>
      <c r="AN192" s="646"/>
      <c r="AX192" s="893"/>
      <c r="AY192" s="781" t="str">
        <f>IF('Fertilizer Cost LP Model'!P197="","",'Fertilizer Cost LP Model'!P197)</f>
        <v>Urea</v>
      </c>
      <c r="AZ192" s="782" t="str">
        <f>IF('Fertilizer Cost LP Model'!Q197="","",'Fertilizer Cost LP Model'!Q197)</f>
        <v>DAP</v>
      </c>
      <c r="BA192" s="782" t="str">
        <f>IF('Fertilizer Cost LP Model'!R197="","",'Fertilizer Cost LP Model'!R197)</f>
        <v>MOP</v>
      </c>
      <c r="BB192" s="782" t="str">
        <f>IF('Fertilizer Cost LP Model'!S197="","",'Fertilizer Cost LP Model'!S197)</f>
        <v>POLY4</v>
      </c>
      <c r="BC192" s="782" t="str">
        <f>IF('Fertilizer Cost LP Model'!T197="","",'Fertilizer Cost LP Model'!T197)</f>
        <v/>
      </c>
      <c r="BD192" s="782" t="str">
        <f>IF('Fertilizer Cost LP Model'!U197="","",'Fertilizer Cost LP Model'!U197)</f>
        <v/>
      </c>
      <c r="BE192" s="782" t="str">
        <f>IF('Fertilizer Cost LP Model'!V197="","",'Fertilizer Cost LP Model'!V197)</f>
        <v/>
      </c>
      <c r="BF192" s="782" t="str">
        <f>IF('Fertilizer Cost LP Model'!W197="","",'Fertilizer Cost LP Model'!W197)</f>
        <v/>
      </c>
      <c r="BG192" s="782" t="str">
        <f>IF('Fertilizer Cost LP Model'!X197="","",'Fertilizer Cost LP Model'!X197)</f>
        <v/>
      </c>
      <c r="BH192" s="783" t="str">
        <f>IF('Fertilizer Cost LP Model'!Y197="","",'Fertilizer Cost LP Model'!Y197)</f>
        <v/>
      </c>
      <c r="BI192" s="933" t="s">
        <v>198</v>
      </c>
      <c r="BJ192" s="789"/>
    </row>
    <row r="193" spans="2:62" ht="10.199999999999999" customHeight="1">
      <c r="B193" s="697"/>
      <c r="C193" s="770">
        <v>200.000001</v>
      </c>
      <c r="D193" s="770">
        <v>100.00000000000001</v>
      </c>
      <c r="E193" s="770">
        <v>100.00000000000003</v>
      </c>
      <c r="F193" s="771">
        <v>24</v>
      </c>
      <c r="G193" s="771">
        <v>30</v>
      </c>
      <c r="H193" s="771">
        <v>0</v>
      </c>
      <c r="I193" s="770">
        <v>0</v>
      </c>
      <c r="J193" s="770">
        <v>0</v>
      </c>
      <c r="K193" s="770">
        <v>0</v>
      </c>
      <c r="L193" s="771">
        <v>80.000000000000014</v>
      </c>
      <c r="M193" s="1178"/>
      <c r="N193" s="679"/>
      <c r="O193" s="697"/>
      <c r="P193" s="775">
        <v>200.000001</v>
      </c>
      <c r="Q193" s="775">
        <v>100</v>
      </c>
      <c r="R193" s="775">
        <v>100.00000000000003</v>
      </c>
      <c r="S193" s="775">
        <v>0</v>
      </c>
      <c r="T193" s="775">
        <v>0</v>
      </c>
      <c r="U193" s="775">
        <v>0</v>
      </c>
      <c r="V193" s="775">
        <v>0</v>
      </c>
      <c r="W193" s="775">
        <v>0</v>
      </c>
      <c r="X193" s="775">
        <v>0</v>
      </c>
      <c r="Y193" s="775">
        <v>80.000000000000014</v>
      </c>
      <c r="Z193" s="1180"/>
      <c r="AA193" s="1186"/>
      <c r="AB193" s="645"/>
      <c r="AC193" s="645"/>
      <c r="AD193" s="645"/>
      <c r="AE193" s="645"/>
      <c r="AF193" s="645"/>
      <c r="AG193" s="645"/>
      <c r="AH193" s="645"/>
      <c r="AI193" s="645"/>
      <c r="AJ193" s="645"/>
      <c r="AK193" s="645"/>
      <c r="AL193" s="645"/>
      <c r="AM193" s="645"/>
      <c r="AN193" s="646"/>
      <c r="AX193" s="802"/>
      <c r="AY193" s="781" t="str">
        <f>IFERROR(HLOOKUP(AY192,'Fertilizer Cost LP Model'!$B$17:$AA$18,2,FALSE),"")</f>
        <v/>
      </c>
      <c r="AZ193" s="782">
        <f>IFERROR(HLOOKUP(AZ192,'Fertilizer Cost LP Model'!$B$17:$AA$18,2,FALSE),"")</f>
        <v>365</v>
      </c>
      <c r="BA193" s="782">
        <f>IFERROR(HLOOKUP(BA192,'Fertilizer Cost LP Model'!$B$17:$AA$18,2,FALSE),"")</f>
        <v>322</v>
      </c>
      <c r="BB193" s="782">
        <f>IFERROR(HLOOKUP(BB192,'Fertilizer Cost LP Model'!$B$17:$AA$18,2,FALSE),"")</f>
        <v>200</v>
      </c>
      <c r="BC193" s="782" t="str">
        <f>IFERROR(HLOOKUP(BC192,'Fertilizer Cost LP Model'!$B$17:$AA$18,2,FALSE),"")</f>
        <v/>
      </c>
      <c r="BD193" s="782" t="str">
        <f>IFERROR(HLOOKUP(BD192,'Fertilizer Cost LP Model'!$B$17:$AA$18,2,FALSE),"")</f>
        <v/>
      </c>
      <c r="BE193" s="782" t="str">
        <f>IFERROR(HLOOKUP(BE192,'Fertilizer Cost LP Model'!$B$17:$AA$18,2,FALSE),"")</f>
        <v/>
      </c>
      <c r="BF193" s="782" t="str">
        <f>IFERROR(HLOOKUP(BF192,'Fertilizer Cost LP Model'!$B$17:$AA$18,2,FALSE),"")</f>
        <v/>
      </c>
      <c r="BG193" s="782" t="str">
        <f>IFERROR(HLOOKUP(BG192,'Fertilizer Cost LP Model'!$B$17:$AA$18,2,FALSE),"")</f>
        <v/>
      </c>
      <c r="BH193" s="783" t="str">
        <f>IFERROR(HLOOKUP(BH192,'Fertilizer Cost LP Model'!$B$17:$AA$18,2,FALSE),"")</f>
        <v/>
      </c>
      <c r="BI193" s="953"/>
      <c r="BJ193" s="787"/>
    </row>
    <row r="194" spans="2:62" ht="10.199999999999999" customHeight="1">
      <c r="B194" s="702"/>
      <c r="C194" s="644"/>
      <c r="D194" s="644"/>
      <c r="E194" s="644"/>
      <c r="F194" s="644"/>
      <c r="G194" s="644"/>
      <c r="H194" s="644"/>
      <c r="I194" s="644"/>
      <c r="J194" s="644"/>
      <c r="K194" s="644"/>
      <c r="L194" s="644"/>
      <c r="M194" s="644">
        <f>SUMPRODUCT(C190:L190,C191:L191)*0.001</f>
        <v>260.95566983303496</v>
      </c>
      <c r="N194" s="679"/>
      <c r="O194" s="703"/>
      <c r="P194" s="644"/>
      <c r="Q194" s="644"/>
      <c r="R194" s="644"/>
      <c r="S194" s="644"/>
      <c r="T194" s="644"/>
      <c r="U194" s="644"/>
      <c r="V194" s="644"/>
      <c r="W194" s="644"/>
      <c r="X194" s="644"/>
      <c r="Y194" s="644"/>
      <c r="Z194" s="644"/>
      <c r="AA194" s="648"/>
      <c r="AB194" s="645"/>
      <c r="AC194" s="645"/>
      <c r="AD194" s="645"/>
      <c r="AE194" s="645"/>
      <c r="AF194" s="645"/>
      <c r="AG194" s="645"/>
      <c r="AH194" s="645"/>
      <c r="AI194" s="645"/>
      <c r="AJ194" s="645"/>
      <c r="AK194" s="645"/>
      <c r="AL194" s="645"/>
      <c r="AM194" s="645"/>
      <c r="AN194" s="646"/>
      <c r="AX194" s="1187" t="s">
        <v>157</v>
      </c>
      <c r="AY194" s="950">
        <f>IF('Fertilizer Cost LP Model'!P198="","",'Fertilizer Cost LP Model'!P198)</f>
        <v>349.71644829867671</v>
      </c>
      <c r="AZ194" s="950">
        <f>IF('Fertilizer Cost LP Model'!Q198="","",'Fertilizer Cost LP Model'!Q198)</f>
        <v>217.39130434782606</v>
      </c>
      <c r="BA194" s="950">
        <f>IF('Fertilizer Cost LP Model'!R198="","",'Fertilizer Cost LP Model'!R198)</f>
        <v>166.66666666666671</v>
      </c>
      <c r="BB194" s="950">
        <f>IF('Fertilizer Cost LP Model'!S198="","",'Fertilizer Cost LP Model'!S198)</f>
        <v>0</v>
      </c>
      <c r="BC194" s="950" t="str">
        <f>IF('Fertilizer Cost LP Model'!T198="","",'Fertilizer Cost LP Model'!T198)</f>
        <v/>
      </c>
      <c r="BD194" s="950" t="str">
        <f>IF('Fertilizer Cost LP Model'!U198="","",'Fertilizer Cost LP Model'!U198)</f>
        <v/>
      </c>
      <c r="BE194" s="950" t="str">
        <f>IF('Fertilizer Cost LP Model'!V198="","",'Fertilizer Cost LP Model'!V198)</f>
        <v/>
      </c>
      <c r="BF194" s="950" t="str">
        <f>IF('Fertilizer Cost LP Model'!W198="","",'Fertilizer Cost LP Model'!W198)</f>
        <v/>
      </c>
      <c r="BG194" s="950" t="str">
        <f>IF('Fertilizer Cost LP Model'!X198="","",'Fertilizer Cost LP Model'!X198)</f>
        <v/>
      </c>
      <c r="BH194" s="951" t="str">
        <f>IF('Fertilizer Cost LP Model'!Y198="","",'Fertilizer Cost LP Model'!Y198)</f>
        <v/>
      </c>
      <c r="BI194" s="781">
        <f>IF(SUM(AY194:BH194)=0,"",SUM(AY194:BH194))</f>
        <v>733.77441931316957</v>
      </c>
      <c r="BJ194" s="788"/>
    </row>
    <row r="195" spans="2:62" ht="10.199999999999999" customHeight="1">
      <c r="B195" s="702"/>
      <c r="C195" s="644"/>
      <c r="D195" s="644"/>
      <c r="E195" s="644"/>
      <c r="F195" s="644"/>
      <c r="G195" s="644"/>
      <c r="H195" s="644"/>
      <c r="I195" s="644"/>
      <c r="J195" s="644"/>
      <c r="K195" s="644"/>
      <c r="L195" s="644"/>
      <c r="M195" s="644"/>
      <c r="N195" s="679"/>
      <c r="O195" s="703"/>
      <c r="P195" s="644"/>
      <c r="Q195" s="644"/>
      <c r="R195" s="644"/>
      <c r="S195" s="644"/>
      <c r="T195" s="644"/>
      <c r="U195" s="644"/>
      <c r="V195" s="644"/>
      <c r="W195" s="644"/>
      <c r="X195" s="644"/>
      <c r="Y195" s="644"/>
      <c r="Z195" s="644"/>
      <c r="AA195" s="648"/>
      <c r="AB195" s="645"/>
      <c r="AC195" s="645"/>
      <c r="AD195" s="645"/>
      <c r="AE195" s="645"/>
      <c r="AF195" s="645"/>
      <c r="AG195" s="645"/>
      <c r="AH195" s="645"/>
      <c r="AI195" s="645"/>
      <c r="AJ195" s="645"/>
      <c r="AK195" s="645"/>
      <c r="AL195" s="645"/>
      <c r="AM195" s="645"/>
      <c r="AN195" s="646"/>
      <c r="AX195" s="1188"/>
      <c r="AY195" s="940"/>
      <c r="AZ195" s="940"/>
      <c r="BA195" s="940"/>
      <c r="BB195" s="940"/>
      <c r="BC195" s="940"/>
      <c r="BD195" s="940"/>
      <c r="BE195" s="940"/>
      <c r="BF195" s="940"/>
      <c r="BG195" s="940"/>
      <c r="BH195" s="941"/>
      <c r="BI195" s="954" t="s">
        <v>187</v>
      </c>
      <c r="BJ195" s="784" t="s">
        <v>151</v>
      </c>
    </row>
    <row r="196" spans="2:62" ht="10.199999999999999" customHeight="1">
      <c r="B196" s="681"/>
      <c r="C196" s="682" t="s">
        <v>0</v>
      </c>
      <c r="D196" s="682" t="s">
        <v>1</v>
      </c>
      <c r="E196" s="682" t="s">
        <v>2</v>
      </c>
      <c r="F196" s="682" t="s">
        <v>3</v>
      </c>
      <c r="G196" s="682" t="s">
        <v>4</v>
      </c>
      <c r="H196" s="682" t="s">
        <v>5</v>
      </c>
      <c r="I196" s="682" t="s">
        <v>6</v>
      </c>
      <c r="J196" s="682" t="s">
        <v>7</v>
      </c>
      <c r="K196" s="682" t="s">
        <v>8</v>
      </c>
      <c r="L196" s="682" t="s">
        <v>149</v>
      </c>
      <c r="M196" s="682" t="s">
        <v>150</v>
      </c>
      <c r="N196" s="679"/>
      <c r="O196" s="681"/>
      <c r="P196" s="683" t="s">
        <v>0</v>
      </c>
      <c r="Q196" s="683" t="s">
        <v>1</v>
      </c>
      <c r="R196" s="683" t="s">
        <v>2</v>
      </c>
      <c r="S196" s="683" t="s">
        <v>3</v>
      </c>
      <c r="T196" s="683" t="s">
        <v>4</v>
      </c>
      <c r="U196" s="683" t="s">
        <v>5</v>
      </c>
      <c r="V196" s="683" t="s">
        <v>6</v>
      </c>
      <c r="W196" s="683" t="s">
        <v>7</v>
      </c>
      <c r="X196" s="683" t="s">
        <v>8</v>
      </c>
      <c r="Y196" s="683" t="s">
        <v>149</v>
      </c>
      <c r="Z196" s="684" t="s">
        <v>150</v>
      </c>
      <c r="AA196" s="685" t="s">
        <v>151</v>
      </c>
      <c r="AB196" s="645"/>
      <c r="AC196" s="645"/>
      <c r="AD196" s="645"/>
      <c r="AE196" s="645"/>
      <c r="AF196" s="645"/>
      <c r="AG196" s="645"/>
      <c r="AH196" s="645"/>
      <c r="AI196" s="645"/>
      <c r="AJ196" s="645"/>
      <c r="AK196" s="645"/>
      <c r="AL196" s="645"/>
      <c r="AM196" s="645"/>
      <c r="AN196" s="646"/>
      <c r="AX196" s="802"/>
      <c r="AY196" s="781" t="s">
        <v>154</v>
      </c>
      <c r="AZ196" s="782" t="s">
        <v>180</v>
      </c>
      <c r="BA196" s="782" t="s">
        <v>181</v>
      </c>
      <c r="BB196" s="782" t="s">
        <v>83</v>
      </c>
      <c r="BC196" s="782" t="s">
        <v>11</v>
      </c>
      <c r="BD196" s="782" t="s">
        <v>12</v>
      </c>
      <c r="BE196" s="782" t="s">
        <v>14</v>
      </c>
      <c r="BF196" s="782" t="s">
        <v>38</v>
      </c>
      <c r="BG196" s="782" t="s">
        <v>145</v>
      </c>
      <c r="BH196" s="783" t="s">
        <v>13</v>
      </c>
      <c r="BI196" s="1166">
        <f>'Fertilizer Cost LP Model'!Z200</f>
        <v>144.90163834649653</v>
      </c>
      <c r="BJ196" s="1168" t="str">
        <f>IFERROR(IF(AA38="","",AA38),"")</f>
        <v/>
      </c>
    </row>
    <row r="197" spans="2:62" ht="10.199999999999999" customHeight="1" thickBot="1">
      <c r="B197" s="686"/>
      <c r="C197" s="769" t="s">
        <v>22</v>
      </c>
      <c r="D197" s="769" t="s">
        <v>21</v>
      </c>
      <c r="E197" s="769" t="s">
        <v>78</v>
      </c>
      <c r="F197" s="769" t="s">
        <v>43</v>
      </c>
      <c r="G197" s="769" t="s">
        <v>140</v>
      </c>
      <c r="H197" s="769"/>
      <c r="I197" s="769"/>
      <c r="J197" s="769"/>
      <c r="K197" s="769"/>
      <c r="L197" s="769"/>
      <c r="M197" s="690"/>
      <c r="N197" s="679"/>
      <c r="O197" s="686"/>
      <c r="P197" s="773" t="s">
        <v>79</v>
      </c>
      <c r="Q197" s="773" t="s">
        <v>78</v>
      </c>
      <c r="R197" s="773" t="s">
        <v>43</v>
      </c>
      <c r="S197" s="773" t="s">
        <v>9</v>
      </c>
      <c r="T197" s="773"/>
      <c r="U197" s="773"/>
      <c r="V197" s="773"/>
      <c r="W197" s="773"/>
      <c r="X197" s="773"/>
      <c r="Y197" s="773"/>
      <c r="Z197" s="690"/>
      <c r="AA197" s="675"/>
      <c r="AB197" s="645"/>
      <c r="AC197" s="645"/>
      <c r="AD197" s="645"/>
      <c r="AE197" s="645"/>
      <c r="AF197" s="645"/>
      <c r="AG197" s="645"/>
      <c r="AH197" s="645"/>
      <c r="AI197" s="645"/>
      <c r="AJ197" s="645"/>
      <c r="AK197" s="645"/>
      <c r="AL197" s="645"/>
      <c r="AM197" s="645"/>
      <c r="AN197" s="646"/>
      <c r="AX197" s="804"/>
      <c r="AY197" s="792">
        <f>IF('Fertilizer Cost LP Model'!P201="","",'Fertilizer Cost LP Model'!P201)</f>
        <v>200.00000099999997</v>
      </c>
      <c r="AZ197" s="793">
        <f>IF('Fertilizer Cost LP Model'!Q201="","",'Fertilizer Cost LP Model'!Q201)</f>
        <v>100</v>
      </c>
      <c r="BA197" s="793">
        <f>IF('Fertilizer Cost LP Model'!R201="","",'Fertilizer Cost LP Model'!R201)</f>
        <v>100.00000000000003</v>
      </c>
      <c r="BB197" s="793">
        <f>IF('Fertilizer Cost LP Model'!S201="","",'Fertilizer Cost LP Model'!S201)</f>
        <v>0</v>
      </c>
      <c r="BC197" s="793">
        <f>IF('Fertilizer Cost LP Model'!T201="","",'Fertilizer Cost LP Model'!T201)</f>
        <v>0</v>
      </c>
      <c r="BD197" s="793">
        <f>IF('Fertilizer Cost LP Model'!U201="","",'Fertilizer Cost LP Model'!U201)</f>
        <v>0</v>
      </c>
      <c r="BE197" s="793">
        <f>IF('Fertilizer Cost LP Model'!V201="","",'Fertilizer Cost LP Model'!V201)</f>
        <v>0</v>
      </c>
      <c r="BF197" s="793">
        <f>IF('Fertilizer Cost LP Model'!W201="","",'Fertilizer Cost LP Model'!W201)</f>
        <v>0</v>
      </c>
      <c r="BG197" s="793">
        <f>IF('Fertilizer Cost LP Model'!X201="","",'Fertilizer Cost LP Model'!X201)</f>
        <v>0</v>
      </c>
      <c r="BH197" s="948">
        <f>IF('Fertilizer Cost LP Model'!Y201="","",'Fertilizer Cost LP Model'!Y201)</f>
        <v>80.000000000000014</v>
      </c>
      <c r="BI197" s="1167"/>
      <c r="BJ197" s="1169"/>
    </row>
    <row r="198" spans="2:62" ht="10.199999999999999" customHeight="1" thickBot="1">
      <c r="B198" s="1173" t="s">
        <v>157</v>
      </c>
      <c r="C198" s="902">
        <v>473.14578299232733</v>
      </c>
      <c r="D198" s="902">
        <v>0</v>
      </c>
      <c r="E198" s="902">
        <v>217.39130434782609</v>
      </c>
      <c r="F198" s="902">
        <v>166.66666666666671</v>
      </c>
      <c r="G198" s="902">
        <v>120</v>
      </c>
      <c r="H198" s="902"/>
      <c r="I198" s="902"/>
      <c r="J198" s="902"/>
      <c r="K198" s="902"/>
      <c r="L198" s="902"/>
      <c r="M198" s="691"/>
      <c r="N198" s="679"/>
      <c r="O198" s="1173" t="s">
        <v>157</v>
      </c>
      <c r="P198" s="897">
        <v>349.71644829867671</v>
      </c>
      <c r="Q198" s="897">
        <v>217.39130434782606</v>
      </c>
      <c r="R198" s="897">
        <v>166.66666666666671</v>
      </c>
      <c r="S198" s="897">
        <v>0</v>
      </c>
      <c r="T198" s="897"/>
      <c r="U198" s="897"/>
      <c r="V198" s="897"/>
      <c r="W198" s="897"/>
      <c r="X198" s="897"/>
      <c r="Y198" s="897"/>
      <c r="Z198" s="691"/>
      <c r="AA198" s="1175"/>
      <c r="AB198" s="645"/>
      <c r="AC198" s="645"/>
      <c r="AD198" s="645"/>
      <c r="AE198" s="645"/>
      <c r="AF198" s="645"/>
      <c r="AG198" s="645"/>
      <c r="AH198" s="645"/>
      <c r="AI198" s="645"/>
      <c r="AJ198" s="645"/>
      <c r="AK198" s="645"/>
      <c r="AL198" s="645"/>
      <c r="AM198" s="645"/>
      <c r="AN198" s="646"/>
      <c r="AX198" s="798"/>
      <c r="AY198" s="942"/>
      <c r="AZ198" s="942"/>
      <c r="BA198" s="942"/>
      <c r="BB198" s="942"/>
      <c r="BC198" s="942"/>
      <c r="BD198" s="942"/>
      <c r="BE198" s="942"/>
      <c r="BF198" s="942"/>
      <c r="BG198" s="942"/>
      <c r="BH198" s="942"/>
      <c r="BI198" s="942"/>
      <c r="BJ198" s="786"/>
    </row>
    <row r="199" spans="2:62" ht="10.199999999999999" customHeight="1">
      <c r="B199" s="1174"/>
      <c r="C199" s="692">
        <f>IFERROR(HLOOKUP(C197,$B$17:$AA$18,2,FALSE),"")</f>
        <v>207</v>
      </c>
      <c r="D199" s="692">
        <f t="shared" ref="D199:L199" si="43">IFERROR(HLOOKUP(D197,$B$17:$AA$18,2,FALSE),"")</f>
        <v>177</v>
      </c>
      <c r="E199" s="692">
        <f t="shared" si="43"/>
        <v>365</v>
      </c>
      <c r="F199" s="692">
        <f t="shared" si="43"/>
        <v>322</v>
      </c>
      <c r="G199" s="692">
        <f t="shared" si="43"/>
        <v>250</v>
      </c>
      <c r="H199" s="692" t="str">
        <f t="shared" si="43"/>
        <v/>
      </c>
      <c r="I199" s="692" t="str">
        <f t="shared" si="43"/>
        <v/>
      </c>
      <c r="J199" s="692" t="str">
        <f t="shared" si="43"/>
        <v/>
      </c>
      <c r="K199" s="692" t="str">
        <f t="shared" si="43"/>
        <v/>
      </c>
      <c r="L199" s="692" t="str">
        <f t="shared" si="43"/>
        <v/>
      </c>
      <c r="M199" s="682" t="s">
        <v>187</v>
      </c>
      <c r="N199" s="679"/>
      <c r="O199" s="1174"/>
      <c r="P199" s="692" t="str">
        <f>IFERROR(HLOOKUP(P197,$B$17:$AA$18,2,FALSE),"")</f>
        <v/>
      </c>
      <c r="Q199" s="692">
        <f t="shared" ref="Q199:Y199" si="44">IFERROR(HLOOKUP(Q197,$B$17:$AA$18,2,FALSE),"")</f>
        <v>365</v>
      </c>
      <c r="R199" s="692">
        <f t="shared" si="44"/>
        <v>322</v>
      </c>
      <c r="S199" s="692">
        <f t="shared" si="44"/>
        <v>200</v>
      </c>
      <c r="T199" s="692" t="str">
        <f t="shared" si="44"/>
        <v/>
      </c>
      <c r="U199" s="692" t="str">
        <f t="shared" si="44"/>
        <v/>
      </c>
      <c r="V199" s="692" t="str">
        <f t="shared" si="44"/>
        <v/>
      </c>
      <c r="W199" s="692" t="str">
        <f t="shared" si="44"/>
        <v/>
      </c>
      <c r="X199" s="692" t="str">
        <f t="shared" si="44"/>
        <v/>
      </c>
      <c r="Y199" s="692" t="str">
        <f t="shared" si="44"/>
        <v/>
      </c>
      <c r="Z199" s="684" t="s">
        <v>187</v>
      </c>
      <c r="AA199" s="1176"/>
      <c r="AB199" s="645"/>
      <c r="AC199" s="645"/>
      <c r="AD199" s="645"/>
      <c r="AE199" s="645"/>
      <c r="AF199" s="645"/>
      <c r="AG199" s="645"/>
      <c r="AH199" s="645"/>
      <c r="AI199" s="645"/>
      <c r="AJ199" s="645"/>
      <c r="AK199" s="645"/>
      <c r="AL199" s="645"/>
      <c r="AM199" s="645"/>
      <c r="AN199" s="646"/>
      <c r="AX199" s="801"/>
      <c r="AY199" s="932" t="str">
        <f>IF('Fertilizer Cost LP Model'!C205="","",'Fertilizer Cost LP Model'!C205)</f>
        <v>AN</v>
      </c>
      <c r="AZ199" s="933" t="str">
        <f>IF('Fertilizer Cost LP Model'!D205="","",'Fertilizer Cost LP Model'!D205)</f>
        <v>AS</v>
      </c>
      <c r="BA199" s="933" t="str">
        <f>IF('Fertilizer Cost LP Model'!E205="","",'Fertilizer Cost LP Model'!E205)</f>
        <v>MAP</v>
      </c>
      <c r="BB199" s="933" t="str">
        <f>IF('Fertilizer Cost LP Model'!F205="","",'Fertilizer Cost LP Model'!F205)</f>
        <v>MOP</v>
      </c>
      <c r="BC199" s="933" t="str">
        <f>IF('Fertilizer Cost LP Model'!G205="","",'Fertilizer Cost LP Model'!G205)</f>
        <v>Kieserite</v>
      </c>
      <c r="BD199" s="933" t="str">
        <f>IF('Fertilizer Cost LP Model'!H205="","",'Fertilizer Cost LP Model'!H205)</f>
        <v/>
      </c>
      <c r="BE199" s="933" t="str">
        <f>IF('Fertilizer Cost LP Model'!I205="","",'Fertilizer Cost LP Model'!I205)</f>
        <v/>
      </c>
      <c r="BF199" s="933" t="str">
        <f>IF('Fertilizer Cost LP Model'!J205="","",'Fertilizer Cost LP Model'!J205)</f>
        <v/>
      </c>
      <c r="BG199" s="933" t="str">
        <f>IF('Fertilizer Cost LP Model'!K205="","",'Fertilizer Cost LP Model'!K205)</f>
        <v/>
      </c>
      <c r="BH199" s="934" t="str">
        <f>IF('Fertilizer Cost LP Model'!L205="","",'Fertilizer Cost LP Model'!L205)</f>
        <v/>
      </c>
      <c r="BI199" s="933" t="s">
        <v>198</v>
      </c>
      <c r="BJ199" s="785"/>
    </row>
    <row r="200" spans="2:62" ht="10.199999999999999" customHeight="1">
      <c r="B200" s="686"/>
      <c r="C200" s="695" t="s">
        <v>154</v>
      </c>
      <c r="D200" s="695" t="s">
        <v>155</v>
      </c>
      <c r="E200" s="695" t="s">
        <v>156</v>
      </c>
      <c r="F200" s="695" t="s">
        <v>83</v>
      </c>
      <c r="G200" s="695" t="s">
        <v>11</v>
      </c>
      <c r="H200" s="695" t="s">
        <v>12</v>
      </c>
      <c r="I200" s="695" t="s">
        <v>14</v>
      </c>
      <c r="J200" s="695" t="s">
        <v>38</v>
      </c>
      <c r="K200" s="695" t="s">
        <v>145</v>
      </c>
      <c r="L200" s="695" t="s">
        <v>13</v>
      </c>
      <c r="M200" s="1177">
        <v>276.78637064794543</v>
      </c>
      <c r="N200" s="679"/>
      <c r="O200" s="686"/>
      <c r="P200" s="696" t="s">
        <v>154</v>
      </c>
      <c r="Q200" s="696" t="s">
        <v>155</v>
      </c>
      <c r="R200" s="696" t="s">
        <v>156</v>
      </c>
      <c r="S200" s="696" t="s">
        <v>83</v>
      </c>
      <c r="T200" s="696" t="s">
        <v>11</v>
      </c>
      <c r="U200" s="696" t="s">
        <v>12</v>
      </c>
      <c r="V200" s="696" t="s">
        <v>14</v>
      </c>
      <c r="W200" s="696" t="s">
        <v>38</v>
      </c>
      <c r="X200" s="696" t="s">
        <v>145</v>
      </c>
      <c r="Y200" s="696" t="s">
        <v>13</v>
      </c>
      <c r="Z200" s="1184">
        <v>144.90163834649653</v>
      </c>
      <c r="AA200" s="1181"/>
      <c r="AB200" s="645"/>
      <c r="AC200" s="645"/>
      <c r="AD200" s="645"/>
      <c r="AE200" s="645"/>
      <c r="AF200" s="645"/>
      <c r="AG200" s="645"/>
      <c r="AH200" s="645"/>
      <c r="AI200" s="645"/>
      <c r="AJ200" s="645"/>
      <c r="AK200" s="645"/>
      <c r="AL200" s="645"/>
      <c r="AM200" s="645"/>
      <c r="AN200" s="646"/>
      <c r="AX200" s="802"/>
      <c r="AY200" s="781">
        <f>IFERROR(HLOOKUP(AY199,'Fertilizer Cost LP Model'!$B$17:$AA$18,2,FALSE),"")</f>
        <v>207</v>
      </c>
      <c r="AZ200" s="782">
        <f>IFERROR(HLOOKUP(AZ199,'Fertilizer Cost LP Model'!$B$17:$AA$18,2,FALSE),"")</f>
        <v>177</v>
      </c>
      <c r="BA200" s="782">
        <f>IFERROR(HLOOKUP(BA199,'Fertilizer Cost LP Model'!$B$17:$AA$18,2,FALSE),"")</f>
        <v>340</v>
      </c>
      <c r="BB200" s="782">
        <f>IFERROR(HLOOKUP(BB199,'Fertilizer Cost LP Model'!$B$17:$AA$18,2,FALSE),"")</f>
        <v>322</v>
      </c>
      <c r="BC200" s="782">
        <f>IFERROR(HLOOKUP(BC199,'Fertilizer Cost LP Model'!$B$17:$AA$18,2,FALSE),"")</f>
        <v>250</v>
      </c>
      <c r="BD200" s="782" t="str">
        <f>IFERROR(HLOOKUP(BD199,'Fertilizer Cost LP Model'!$B$17:$AA$18,2,FALSE),"")</f>
        <v/>
      </c>
      <c r="BE200" s="782" t="str">
        <f>IFERROR(HLOOKUP(BE199,'Fertilizer Cost LP Model'!$B$17:$AA$18,2,FALSE),"")</f>
        <v/>
      </c>
      <c r="BF200" s="782" t="str">
        <f>IFERROR(HLOOKUP(BF199,'Fertilizer Cost LP Model'!$B$17:$AA$18,2,FALSE),"")</f>
        <v/>
      </c>
      <c r="BG200" s="782" t="str">
        <f>IFERROR(HLOOKUP(BG199,'Fertilizer Cost LP Model'!$B$17:$AA$18,2,FALSE),"")</f>
        <v/>
      </c>
      <c r="BH200" s="783" t="str">
        <f>IFERROR(HLOOKUP(BH199,'Fertilizer Cost LP Model'!$B$17:$AA$18,2,FALSE),"")</f>
        <v/>
      </c>
      <c r="BI200" s="953"/>
      <c r="BJ200" s="786"/>
    </row>
    <row r="201" spans="2:62" ht="10.199999999999999" customHeight="1">
      <c r="B201" s="697"/>
      <c r="C201" s="770">
        <v>200.000001</v>
      </c>
      <c r="D201" s="770">
        <v>100.00000000000001</v>
      </c>
      <c r="E201" s="770">
        <v>100.00000000000003</v>
      </c>
      <c r="F201" s="770">
        <v>24</v>
      </c>
      <c r="G201" s="770">
        <v>30</v>
      </c>
      <c r="H201" s="770">
        <v>0</v>
      </c>
      <c r="I201" s="770">
        <v>0</v>
      </c>
      <c r="J201" s="770">
        <v>0</v>
      </c>
      <c r="K201" s="770">
        <v>0</v>
      </c>
      <c r="L201" s="771">
        <v>80.000000000000014</v>
      </c>
      <c r="M201" s="1178"/>
      <c r="N201" s="679"/>
      <c r="O201" s="697"/>
      <c r="P201" s="775">
        <v>200.00000099999997</v>
      </c>
      <c r="Q201" s="775">
        <v>100</v>
      </c>
      <c r="R201" s="775">
        <v>100.00000000000003</v>
      </c>
      <c r="S201" s="774">
        <v>0</v>
      </c>
      <c r="T201" s="774">
        <v>0</v>
      </c>
      <c r="U201" s="774">
        <v>0</v>
      </c>
      <c r="V201" s="775">
        <v>0</v>
      </c>
      <c r="W201" s="775">
        <v>0</v>
      </c>
      <c r="X201" s="775">
        <v>0</v>
      </c>
      <c r="Y201" s="774">
        <v>80.000000000000014</v>
      </c>
      <c r="Z201" s="1185"/>
      <c r="AA201" s="1182"/>
      <c r="AB201" s="645"/>
      <c r="AC201" s="645"/>
      <c r="AD201" s="645"/>
      <c r="AE201" s="645"/>
      <c r="AF201" s="645"/>
      <c r="AG201" s="645"/>
      <c r="AH201" s="645"/>
      <c r="AI201" s="645"/>
      <c r="AJ201" s="645"/>
      <c r="AK201" s="645"/>
      <c r="AL201" s="645"/>
      <c r="AM201" s="645"/>
      <c r="AN201" s="646"/>
      <c r="AX201" s="1170" t="s">
        <v>178</v>
      </c>
      <c r="AY201" s="952">
        <f>IF('Fertilizer Cost LP Model'!C206="","",'Fertilizer Cost LP Model'!C206)</f>
        <v>526.01810248868776</v>
      </c>
      <c r="AZ201" s="950">
        <f>IF('Fertilizer Cost LP Model'!D206="","",'Fertilizer Cost LP Model'!D206)</f>
        <v>0</v>
      </c>
      <c r="BA201" s="950">
        <f>IF('Fertilizer Cost LP Model'!E206="","",'Fertilizer Cost LP Model'!E206)</f>
        <v>192.30769230769229</v>
      </c>
      <c r="BB201" s="950">
        <f>IF('Fertilizer Cost LP Model'!F206="","",'Fertilizer Cost LP Model'!F206)</f>
        <v>166.66666666666671</v>
      </c>
      <c r="BC201" s="950">
        <f>IF('Fertilizer Cost LP Model'!G206="","",'Fertilizer Cost LP Model'!G206)</f>
        <v>120</v>
      </c>
      <c r="BD201" s="950" t="str">
        <f>IF('Fertilizer Cost LP Model'!H206="","",'Fertilizer Cost LP Model'!H206)</f>
        <v/>
      </c>
      <c r="BE201" s="950" t="str">
        <f>IF('Fertilizer Cost LP Model'!I206="","",'Fertilizer Cost LP Model'!I206)</f>
        <v/>
      </c>
      <c r="BF201" s="950" t="str">
        <f>IF('Fertilizer Cost LP Model'!J206="","",'Fertilizer Cost LP Model'!J206)</f>
        <v/>
      </c>
      <c r="BG201" s="950" t="str">
        <f>IF('Fertilizer Cost LP Model'!K206="","",'Fertilizer Cost LP Model'!K206)</f>
        <v/>
      </c>
      <c r="BH201" s="951" t="str">
        <f>IF('Fertilizer Cost LP Model'!L206="","",'Fertilizer Cost LP Model'!L206)</f>
        <v/>
      </c>
      <c r="BI201" s="781">
        <f>IF(SUM(AY201:BH201)=0,"",SUM(AY201:BH201))</f>
        <v>1004.9924614630468</v>
      </c>
      <c r="BJ201" s="788"/>
    </row>
    <row r="202" spans="2:62" ht="10.199999999999999" customHeight="1">
      <c r="B202" s="702"/>
      <c r="C202" s="644"/>
      <c r="D202" s="644"/>
      <c r="E202" s="644"/>
      <c r="F202" s="644"/>
      <c r="G202" s="644"/>
      <c r="H202" s="644"/>
      <c r="I202" s="644"/>
      <c r="J202" s="644"/>
      <c r="K202" s="644"/>
      <c r="L202" s="644"/>
      <c r="M202" s="644">
        <f>SUMPRODUCT(C198:L198,C199:L199)*0.001</f>
        <v>260.95566983303496</v>
      </c>
      <c r="N202" s="679"/>
      <c r="O202" s="703"/>
      <c r="P202" s="644"/>
      <c r="Q202" s="644"/>
      <c r="R202" s="644"/>
      <c r="S202" s="644"/>
      <c r="T202" s="644"/>
      <c r="U202" s="644"/>
      <c r="V202" s="644"/>
      <c r="W202" s="644"/>
      <c r="X202" s="644"/>
      <c r="Y202" s="644"/>
      <c r="Z202" s="644"/>
      <c r="AA202" s="648"/>
      <c r="AB202" s="645"/>
      <c r="AC202" s="645"/>
      <c r="AD202" s="645"/>
      <c r="AE202" s="645"/>
      <c r="AF202" s="645"/>
      <c r="AG202" s="645"/>
      <c r="AH202" s="645"/>
      <c r="AI202" s="645"/>
      <c r="AJ202" s="645"/>
      <c r="AK202" s="645"/>
      <c r="AL202" s="645"/>
      <c r="AM202" s="645"/>
      <c r="AN202" s="646"/>
      <c r="AX202" s="1171"/>
      <c r="AY202" s="781"/>
      <c r="AZ202" s="782"/>
      <c r="BA202" s="782"/>
      <c r="BB202" s="782"/>
      <c r="BC202" s="782"/>
      <c r="BD202" s="782"/>
      <c r="BE202" s="782"/>
      <c r="BF202" s="782"/>
      <c r="BG202" s="782"/>
      <c r="BH202" s="783"/>
      <c r="BI202" s="954" t="s">
        <v>187</v>
      </c>
      <c r="BJ202" s="784"/>
    </row>
    <row r="203" spans="2:62" ht="10.199999999999999" customHeight="1">
      <c r="B203" s="702"/>
      <c r="C203" s="644"/>
      <c r="D203" s="644"/>
      <c r="E203" s="644"/>
      <c r="F203" s="644"/>
      <c r="G203" s="644"/>
      <c r="H203" s="644"/>
      <c r="I203" s="644"/>
      <c r="J203" s="644"/>
      <c r="K203" s="644"/>
      <c r="L203" s="644"/>
      <c r="M203" s="644"/>
      <c r="N203" s="679"/>
      <c r="O203" s="703"/>
      <c r="P203" s="644"/>
      <c r="Q203" s="644"/>
      <c r="R203" s="644"/>
      <c r="S203" s="644"/>
      <c r="T203" s="644"/>
      <c r="U203" s="644"/>
      <c r="V203" s="644"/>
      <c r="W203" s="644"/>
      <c r="X203" s="644"/>
      <c r="Y203" s="644"/>
      <c r="Z203" s="644"/>
      <c r="AA203" s="648"/>
      <c r="AB203" s="645"/>
      <c r="AC203" s="645"/>
      <c r="AD203" s="645"/>
      <c r="AE203" s="645"/>
      <c r="AF203" s="645"/>
      <c r="AG203" s="645"/>
      <c r="AH203" s="645"/>
      <c r="AI203" s="645"/>
      <c r="AJ203" s="645"/>
      <c r="AK203" s="645"/>
      <c r="AL203" s="645"/>
      <c r="AM203" s="645"/>
      <c r="AN203" s="646"/>
      <c r="AX203" s="802"/>
      <c r="AY203" s="781" t="s">
        <v>154</v>
      </c>
      <c r="AZ203" s="782" t="s">
        <v>180</v>
      </c>
      <c r="BA203" s="782" t="s">
        <v>181</v>
      </c>
      <c r="BB203" s="782" t="s">
        <v>83</v>
      </c>
      <c r="BC203" s="782" t="s">
        <v>11</v>
      </c>
      <c r="BD203" s="782" t="s">
        <v>12</v>
      </c>
      <c r="BE203" s="782" t="s">
        <v>14</v>
      </c>
      <c r="BF203" s="782" t="s">
        <v>38</v>
      </c>
      <c r="BG203" s="782" t="s">
        <v>145</v>
      </c>
      <c r="BH203" s="783" t="s">
        <v>13</v>
      </c>
      <c r="BI203" s="1168">
        <f>'Fertilizer Cost LP Model'!M208</f>
        <v>274.21790714214183</v>
      </c>
      <c r="BJ203" s="892" t="str">
        <f>IF('Fertilizer Cost LP Model'!BC348="","",'Fertilizer Cost LP Model'!BC348)</f>
        <v/>
      </c>
    </row>
    <row r="204" spans="2:62" ht="10.199999999999999" customHeight="1">
      <c r="B204" s="681"/>
      <c r="C204" s="682" t="s">
        <v>0</v>
      </c>
      <c r="D204" s="682" t="s">
        <v>1</v>
      </c>
      <c r="E204" s="682" t="s">
        <v>2</v>
      </c>
      <c r="F204" s="682" t="s">
        <v>3</v>
      </c>
      <c r="G204" s="682" t="s">
        <v>4</v>
      </c>
      <c r="H204" s="682" t="s">
        <v>5</v>
      </c>
      <c r="I204" s="682" t="s">
        <v>6</v>
      </c>
      <c r="J204" s="682" t="s">
        <v>7</v>
      </c>
      <c r="K204" s="682" t="s">
        <v>8</v>
      </c>
      <c r="L204" s="682" t="s">
        <v>149</v>
      </c>
      <c r="M204" s="682" t="s">
        <v>150</v>
      </c>
      <c r="N204" s="679"/>
      <c r="O204" s="681"/>
      <c r="P204" s="683" t="s">
        <v>0</v>
      </c>
      <c r="Q204" s="683" t="s">
        <v>1</v>
      </c>
      <c r="R204" s="683" t="s">
        <v>2</v>
      </c>
      <c r="S204" s="683" t="s">
        <v>3</v>
      </c>
      <c r="T204" s="683" t="s">
        <v>4</v>
      </c>
      <c r="U204" s="683" t="s">
        <v>5</v>
      </c>
      <c r="V204" s="683" t="s">
        <v>6</v>
      </c>
      <c r="W204" s="683" t="s">
        <v>7</v>
      </c>
      <c r="X204" s="683" t="s">
        <v>8</v>
      </c>
      <c r="Y204" s="683" t="s">
        <v>149</v>
      </c>
      <c r="Z204" s="684" t="s">
        <v>150</v>
      </c>
      <c r="AA204" s="685" t="s">
        <v>151</v>
      </c>
      <c r="AB204" s="645"/>
      <c r="AC204" s="645"/>
      <c r="AD204" s="645"/>
      <c r="AE204" s="645"/>
      <c r="AF204" s="645"/>
      <c r="AG204" s="645"/>
      <c r="AH204" s="645"/>
      <c r="AI204" s="645"/>
      <c r="AJ204" s="645"/>
      <c r="AK204" s="645"/>
      <c r="AL204" s="645"/>
      <c r="AM204" s="645"/>
      <c r="AN204" s="646"/>
      <c r="AX204" s="803"/>
      <c r="AY204" s="781">
        <f>IF('Fertilizer Cost LP Model'!C209="","",'Fertilizer Cost LP Model'!C209)</f>
        <v>200.000001</v>
      </c>
      <c r="AZ204" s="782">
        <f>IF('Fertilizer Cost LP Model'!D209="","",'Fertilizer Cost LP Model'!D209)</f>
        <v>100</v>
      </c>
      <c r="BA204" s="782">
        <f>IF('Fertilizer Cost LP Model'!E209="","",'Fertilizer Cost LP Model'!E209)</f>
        <v>100.00000000000003</v>
      </c>
      <c r="BB204" s="782">
        <f>IF('Fertilizer Cost LP Model'!F209="","",'Fertilizer Cost LP Model'!F209)</f>
        <v>24</v>
      </c>
      <c r="BC204" s="782">
        <f>IF('Fertilizer Cost LP Model'!G209="","",'Fertilizer Cost LP Model'!G209)</f>
        <v>30</v>
      </c>
      <c r="BD204" s="782">
        <f>IF('Fertilizer Cost LP Model'!H209="","",'Fertilizer Cost LP Model'!H209)</f>
        <v>0</v>
      </c>
      <c r="BE204" s="782">
        <f>IF('Fertilizer Cost LP Model'!I209="","",'Fertilizer Cost LP Model'!I209)</f>
        <v>0</v>
      </c>
      <c r="BF204" s="782">
        <f>IF('Fertilizer Cost LP Model'!J209="","",'Fertilizer Cost LP Model'!J209)</f>
        <v>0</v>
      </c>
      <c r="BG204" s="782">
        <f>IF('Fertilizer Cost LP Model'!K209="","",'Fertilizer Cost LP Model'!K209)</f>
        <v>0</v>
      </c>
      <c r="BH204" s="783">
        <f>IF('Fertilizer Cost LP Model'!L209="","",'Fertilizer Cost LP Model'!L209)</f>
        <v>80.000000000000014</v>
      </c>
      <c r="BI204" s="1172"/>
      <c r="BJ204" s="794"/>
    </row>
    <row r="205" spans="2:62" ht="10.199999999999999" customHeight="1" thickBot="1">
      <c r="B205" s="686"/>
      <c r="C205" s="769" t="s">
        <v>22</v>
      </c>
      <c r="D205" s="769" t="s">
        <v>21</v>
      </c>
      <c r="E205" s="769" t="s">
        <v>42</v>
      </c>
      <c r="F205" s="769" t="s">
        <v>43</v>
      </c>
      <c r="G205" s="769" t="s">
        <v>140</v>
      </c>
      <c r="H205" s="769"/>
      <c r="I205" s="769"/>
      <c r="J205" s="769"/>
      <c r="K205" s="769"/>
      <c r="L205" s="769"/>
      <c r="M205" s="690"/>
      <c r="N205" s="679"/>
      <c r="O205" s="686"/>
      <c r="P205" s="773" t="s">
        <v>79</v>
      </c>
      <c r="Q205" s="773" t="s">
        <v>42</v>
      </c>
      <c r="R205" s="773" t="s">
        <v>43</v>
      </c>
      <c r="S205" s="773" t="s">
        <v>9</v>
      </c>
      <c r="T205" s="773"/>
      <c r="U205" s="773"/>
      <c r="V205" s="773"/>
      <c r="W205" s="773"/>
      <c r="X205" s="773"/>
      <c r="Y205" s="773"/>
      <c r="Z205" s="690"/>
      <c r="AA205" s="675"/>
      <c r="AB205" s="645"/>
      <c r="AC205" s="645"/>
      <c r="AD205" s="645"/>
      <c r="AE205" s="645"/>
      <c r="AF205" s="645"/>
      <c r="AG205" s="645"/>
      <c r="AH205" s="645"/>
      <c r="AI205" s="645"/>
      <c r="AJ205" s="645"/>
      <c r="AK205" s="645"/>
      <c r="AL205" s="645"/>
      <c r="AM205" s="645"/>
      <c r="AN205" s="646"/>
      <c r="AX205" s="795"/>
      <c r="AY205" s="949"/>
      <c r="AZ205" s="949"/>
      <c r="BA205" s="949"/>
      <c r="BB205" s="949"/>
      <c r="BC205" s="949"/>
      <c r="BD205" s="949"/>
      <c r="BE205" s="949"/>
      <c r="BF205" s="949"/>
      <c r="BG205" s="949"/>
      <c r="BH205" s="949"/>
      <c r="BI205" s="949"/>
      <c r="BJ205" s="795"/>
    </row>
    <row r="206" spans="2:62" ht="10.199999999999999" customHeight="1">
      <c r="B206" s="1173" t="s">
        <v>158</v>
      </c>
      <c r="C206" s="901">
        <v>526.01810248868776</v>
      </c>
      <c r="D206" s="901">
        <v>0</v>
      </c>
      <c r="E206" s="901">
        <v>192.30769230769229</v>
      </c>
      <c r="F206" s="901">
        <v>166.66666666666671</v>
      </c>
      <c r="G206" s="901">
        <v>120</v>
      </c>
      <c r="H206" s="901"/>
      <c r="I206" s="901"/>
      <c r="J206" s="901"/>
      <c r="K206" s="901"/>
      <c r="L206" s="901"/>
      <c r="M206" s="772"/>
      <c r="N206" s="679"/>
      <c r="O206" s="1173" t="s">
        <v>158</v>
      </c>
      <c r="P206" s="896">
        <v>388.7959887959866</v>
      </c>
      <c r="Q206" s="896">
        <v>192.30769230769229</v>
      </c>
      <c r="R206" s="896">
        <v>166.66666666666671</v>
      </c>
      <c r="S206" s="896">
        <v>0</v>
      </c>
      <c r="T206" s="896"/>
      <c r="U206" s="896"/>
      <c r="V206" s="896"/>
      <c r="W206" s="896"/>
      <c r="X206" s="896"/>
      <c r="Y206" s="896"/>
      <c r="Z206" s="691"/>
      <c r="AA206" s="1175"/>
      <c r="AB206" s="645"/>
      <c r="AC206" s="645"/>
      <c r="AD206" s="645"/>
      <c r="AE206" s="645"/>
      <c r="AF206" s="645"/>
      <c r="AG206" s="645"/>
      <c r="AH206" s="645"/>
      <c r="AI206" s="645"/>
      <c r="AJ206" s="645"/>
      <c r="AK206" s="645"/>
      <c r="AL206" s="645"/>
      <c r="AM206" s="645"/>
      <c r="AN206" s="646"/>
      <c r="AX206" s="893"/>
      <c r="AY206" s="781" t="str">
        <f>IF('Fertilizer Cost LP Model'!P205="","",'Fertilizer Cost LP Model'!P205)</f>
        <v>Urea</v>
      </c>
      <c r="AZ206" s="782" t="str">
        <f>IF('Fertilizer Cost LP Model'!Q205="","",'Fertilizer Cost LP Model'!Q205)</f>
        <v>MAP</v>
      </c>
      <c r="BA206" s="782" t="str">
        <f>IF('Fertilizer Cost LP Model'!R205="","",'Fertilizer Cost LP Model'!R205)</f>
        <v>MOP</v>
      </c>
      <c r="BB206" s="782" t="str">
        <f>IF('Fertilizer Cost LP Model'!S205="","",'Fertilizer Cost LP Model'!S205)</f>
        <v>POLY4</v>
      </c>
      <c r="BC206" s="782" t="str">
        <f>IF('Fertilizer Cost LP Model'!T205="","",'Fertilizer Cost LP Model'!T205)</f>
        <v/>
      </c>
      <c r="BD206" s="782" t="str">
        <f>IF('Fertilizer Cost LP Model'!U205="","",'Fertilizer Cost LP Model'!U205)</f>
        <v/>
      </c>
      <c r="BE206" s="782" t="str">
        <f>IF('Fertilizer Cost LP Model'!V205="","",'Fertilizer Cost LP Model'!V205)</f>
        <v/>
      </c>
      <c r="BF206" s="782" t="str">
        <f>IF('Fertilizer Cost LP Model'!W205="","",'Fertilizer Cost LP Model'!W205)</f>
        <v/>
      </c>
      <c r="BG206" s="782" t="str">
        <f>IF('Fertilizer Cost LP Model'!X205="","",'Fertilizer Cost LP Model'!X205)</f>
        <v/>
      </c>
      <c r="BH206" s="783" t="str">
        <f>IF('Fertilizer Cost LP Model'!Y205="","",'Fertilizer Cost LP Model'!Y205)</f>
        <v/>
      </c>
      <c r="BI206" s="933" t="s">
        <v>198</v>
      </c>
      <c r="BJ206" s="789"/>
    </row>
    <row r="207" spans="2:62" ht="10.199999999999999" customHeight="1">
      <c r="B207" s="1174"/>
      <c r="C207" s="692">
        <f>IFERROR(HLOOKUP(C205,$B$17:$AA$18,2,FALSE),"")</f>
        <v>207</v>
      </c>
      <c r="D207" s="692">
        <f t="shared" ref="D207:L207" si="45">IFERROR(HLOOKUP(D205,$B$17:$AA$18,2,FALSE),"")</f>
        <v>177</v>
      </c>
      <c r="E207" s="692">
        <f t="shared" si="45"/>
        <v>340</v>
      </c>
      <c r="F207" s="692">
        <f t="shared" si="45"/>
        <v>322</v>
      </c>
      <c r="G207" s="692">
        <f t="shared" si="45"/>
        <v>250</v>
      </c>
      <c r="H207" s="692" t="str">
        <f t="shared" si="45"/>
        <v/>
      </c>
      <c r="I207" s="692" t="str">
        <f t="shared" si="45"/>
        <v/>
      </c>
      <c r="J207" s="692" t="str">
        <f t="shared" si="45"/>
        <v/>
      </c>
      <c r="K207" s="692" t="str">
        <f t="shared" si="45"/>
        <v/>
      </c>
      <c r="L207" s="692" t="str">
        <f t="shared" si="45"/>
        <v/>
      </c>
      <c r="M207" s="682" t="s">
        <v>187</v>
      </c>
      <c r="N207" s="679"/>
      <c r="O207" s="1174"/>
      <c r="P207" s="692" t="str">
        <f>IFERROR(HLOOKUP(P205,$B$17:$AA$18,2,FALSE),"")</f>
        <v/>
      </c>
      <c r="Q207" s="692">
        <f t="shared" ref="Q207:Y207" si="46">IFERROR(HLOOKUP(Q205,$B$17:$AA$18,2,FALSE),"")</f>
        <v>340</v>
      </c>
      <c r="R207" s="692">
        <f t="shared" si="46"/>
        <v>322</v>
      </c>
      <c r="S207" s="692">
        <f t="shared" si="46"/>
        <v>200</v>
      </c>
      <c r="T207" s="692" t="str">
        <f t="shared" si="46"/>
        <v/>
      </c>
      <c r="U207" s="692" t="str">
        <f t="shared" si="46"/>
        <v/>
      </c>
      <c r="V207" s="692" t="str">
        <f t="shared" si="46"/>
        <v/>
      </c>
      <c r="W207" s="692" t="str">
        <f t="shared" si="46"/>
        <v/>
      </c>
      <c r="X207" s="692" t="str">
        <f t="shared" si="46"/>
        <v/>
      </c>
      <c r="Y207" s="692" t="str">
        <f t="shared" si="46"/>
        <v/>
      </c>
      <c r="Z207" s="684" t="s">
        <v>187</v>
      </c>
      <c r="AA207" s="1176"/>
      <c r="AB207" s="645"/>
      <c r="AC207" s="645"/>
      <c r="AD207" s="645"/>
      <c r="AE207" s="645"/>
      <c r="AF207" s="645"/>
      <c r="AG207" s="645"/>
      <c r="AH207" s="645"/>
      <c r="AI207" s="645"/>
      <c r="AJ207" s="645"/>
      <c r="AK207" s="645"/>
      <c r="AL207" s="645"/>
      <c r="AM207" s="645"/>
      <c r="AN207" s="646"/>
      <c r="AX207" s="802"/>
      <c r="AY207" s="781" t="str">
        <f>IFERROR(HLOOKUP(AY206,'Fertilizer Cost LP Model'!$B$17:$AA$18,2,FALSE),"")</f>
        <v/>
      </c>
      <c r="AZ207" s="782">
        <f>IFERROR(HLOOKUP(AZ206,'Fertilizer Cost LP Model'!$B$17:$AA$18,2,FALSE),"")</f>
        <v>340</v>
      </c>
      <c r="BA207" s="782">
        <f>IFERROR(HLOOKUP(BA206,'Fertilizer Cost LP Model'!$B$17:$AA$18,2,FALSE),"")</f>
        <v>322</v>
      </c>
      <c r="BB207" s="782">
        <f>IFERROR(HLOOKUP(BB206,'Fertilizer Cost LP Model'!$B$17:$AA$18,2,FALSE),"")</f>
        <v>200</v>
      </c>
      <c r="BC207" s="782" t="str">
        <f>IFERROR(HLOOKUP(BC206,'Fertilizer Cost LP Model'!$B$17:$AA$18,2,FALSE),"")</f>
        <v/>
      </c>
      <c r="BD207" s="782" t="str">
        <f>IFERROR(HLOOKUP(BD206,'Fertilizer Cost LP Model'!$B$17:$AA$18,2,FALSE),"")</f>
        <v/>
      </c>
      <c r="BE207" s="782" t="str">
        <f>IFERROR(HLOOKUP(BE206,'Fertilizer Cost LP Model'!$B$17:$AA$18,2,FALSE),"")</f>
        <v/>
      </c>
      <c r="BF207" s="782" t="str">
        <f>IFERROR(HLOOKUP(BF206,'Fertilizer Cost LP Model'!$B$17:$AA$18,2,FALSE),"")</f>
        <v/>
      </c>
      <c r="BG207" s="782" t="str">
        <f>IFERROR(HLOOKUP(BG206,'Fertilizer Cost LP Model'!$B$17:$AA$18,2,FALSE),"")</f>
        <v/>
      </c>
      <c r="BH207" s="783" t="str">
        <f>IFERROR(HLOOKUP(BH206,'Fertilizer Cost LP Model'!$B$17:$AA$18,2,FALSE),"")</f>
        <v/>
      </c>
      <c r="BI207" s="953"/>
      <c r="BJ207" s="787"/>
    </row>
    <row r="208" spans="2:62" ht="10.199999999999999" customHeight="1">
      <c r="B208" s="686"/>
      <c r="C208" s="695" t="s">
        <v>154</v>
      </c>
      <c r="D208" s="695" t="s">
        <v>155</v>
      </c>
      <c r="E208" s="695" t="s">
        <v>156</v>
      </c>
      <c r="F208" s="695" t="s">
        <v>83</v>
      </c>
      <c r="G208" s="695" t="s">
        <v>11</v>
      </c>
      <c r="H208" s="695" t="s">
        <v>12</v>
      </c>
      <c r="I208" s="695" t="s">
        <v>14</v>
      </c>
      <c r="J208" s="695" t="s">
        <v>38</v>
      </c>
      <c r="K208" s="695" t="s">
        <v>145</v>
      </c>
      <c r="L208" s="695" t="s">
        <v>13</v>
      </c>
      <c r="M208" s="1177">
        <v>274.21790714214183</v>
      </c>
      <c r="N208" s="679"/>
      <c r="O208" s="686"/>
      <c r="P208" s="696" t="s">
        <v>154</v>
      </c>
      <c r="Q208" s="696" t="s">
        <v>155</v>
      </c>
      <c r="R208" s="696" t="s">
        <v>156</v>
      </c>
      <c r="S208" s="696" t="s">
        <v>83</v>
      </c>
      <c r="T208" s="696" t="s">
        <v>11</v>
      </c>
      <c r="U208" s="696" t="s">
        <v>12</v>
      </c>
      <c r="V208" s="696" t="s">
        <v>14</v>
      </c>
      <c r="W208" s="696" t="s">
        <v>38</v>
      </c>
      <c r="X208" s="696" t="s">
        <v>145</v>
      </c>
      <c r="Y208" s="696" t="s">
        <v>13</v>
      </c>
      <c r="Z208" s="1179">
        <v>131.16516168516165</v>
      </c>
      <c r="AA208" s="1181"/>
      <c r="AB208" s="645"/>
      <c r="AC208" s="645"/>
      <c r="AD208" s="645"/>
      <c r="AE208" s="645"/>
      <c r="AF208" s="645"/>
      <c r="AG208" s="645"/>
      <c r="AH208" s="645"/>
      <c r="AI208" s="645"/>
      <c r="AJ208" s="645"/>
      <c r="AK208" s="645"/>
      <c r="AL208" s="645"/>
      <c r="AM208" s="645"/>
      <c r="AN208" s="646"/>
      <c r="AX208" s="1170" t="s">
        <v>158</v>
      </c>
      <c r="AY208" s="950">
        <f>IF('Fertilizer Cost LP Model'!P206="","",'Fertilizer Cost LP Model'!P206)</f>
        <v>388.7959887959866</v>
      </c>
      <c r="AZ208" s="950">
        <f>IF('Fertilizer Cost LP Model'!Q206="","",'Fertilizer Cost LP Model'!Q206)</f>
        <v>192.30769230769229</v>
      </c>
      <c r="BA208" s="950">
        <f>IF('Fertilizer Cost LP Model'!R206="","",'Fertilizer Cost LP Model'!R206)</f>
        <v>166.66666666666671</v>
      </c>
      <c r="BB208" s="950">
        <f>IF('Fertilizer Cost LP Model'!S206="","",'Fertilizer Cost LP Model'!S206)</f>
        <v>0</v>
      </c>
      <c r="BC208" s="950" t="str">
        <f>IF('Fertilizer Cost LP Model'!T206="","",'Fertilizer Cost LP Model'!T206)</f>
        <v/>
      </c>
      <c r="BD208" s="950" t="str">
        <f>IF('Fertilizer Cost LP Model'!U206="","",'Fertilizer Cost LP Model'!U206)</f>
        <v/>
      </c>
      <c r="BE208" s="950" t="str">
        <f>IF('Fertilizer Cost LP Model'!V206="","",'Fertilizer Cost LP Model'!V206)</f>
        <v/>
      </c>
      <c r="BF208" s="950" t="str">
        <f>IF('Fertilizer Cost LP Model'!W206="","",'Fertilizer Cost LP Model'!W206)</f>
        <v/>
      </c>
      <c r="BG208" s="950" t="str">
        <f>IF('Fertilizer Cost LP Model'!X206="","",'Fertilizer Cost LP Model'!X206)</f>
        <v/>
      </c>
      <c r="BH208" s="951" t="str">
        <f>IF('Fertilizer Cost LP Model'!Y206="","",'Fertilizer Cost LP Model'!Y206)</f>
        <v/>
      </c>
      <c r="BI208" s="781">
        <f>IF(SUM(AY208:BH208)=0,"",SUM(AY208:BH208))</f>
        <v>747.77034777034567</v>
      </c>
      <c r="BJ208" s="788"/>
    </row>
    <row r="209" spans="1:62" ht="10.199999999999999" customHeight="1">
      <c r="B209" s="697"/>
      <c r="C209" s="770">
        <v>200.000001</v>
      </c>
      <c r="D209" s="770">
        <v>100</v>
      </c>
      <c r="E209" s="770">
        <v>100.00000000000003</v>
      </c>
      <c r="F209" s="771">
        <v>24</v>
      </c>
      <c r="G209" s="771">
        <v>30</v>
      </c>
      <c r="H209" s="771">
        <v>0</v>
      </c>
      <c r="I209" s="770">
        <v>0</v>
      </c>
      <c r="J209" s="770">
        <v>0</v>
      </c>
      <c r="K209" s="770">
        <v>0</v>
      </c>
      <c r="L209" s="771">
        <v>80.000000000000014</v>
      </c>
      <c r="M209" s="1178"/>
      <c r="N209" s="704"/>
      <c r="O209" s="697"/>
      <c r="P209" s="775">
        <v>200.000001</v>
      </c>
      <c r="Q209" s="775">
        <v>100</v>
      </c>
      <c r="R209" s="775">
        <v>100.00000000000003</v>
      </c>
      <c r="S209" s="775">
        <v>0</v>
      </c>
      <c r="T209" s="775">
        <v>0</v>
      </c>
      <c r="U209" s="775">
        <v>0</v>
      </c>
      <c r="V209" s="775">
        <v>0</v>
      </c>
      <c r="W209" s="775">
        <v>0</v>
      </c>
      <c r="X209" s="775">
        <v>0</v>
      </c>
      <c r="Y209" s="775">
        <v>80.000000000000014</v>
      </c>
      <c r="Z209" s="1180"/>
      <c r="AA209" s="1182"/>
      <c r="AB209" s="645"/>
      <c r="AC209" s="645"/>
      <c r="AD209" s="645"/>
      <c r="AE209" s="645"/>
      <c r="AF209" s="645"/>
      <c r="AG209" s="645"/>
      <c r="AH209" s="645"/>
      <c r="AI209" s="645"/>
      <c r="AJ209" s="645"/>
      <c r="AK209" s="645"/>
      <c r="AL209" s="645"/>
      <c r="AM209" s="645"/>
      <c r="AN209" s="646"/>
      <c r="AX209" s="1183"/>
      <c r="AY209" s="940"/>
      <c r="AZ209" s="940"/>
      <c r="BA209" s="940"/>
      <c r="BB209" s="940"/>
      <c r="BC209" s="940"/>
      <c r="BD209" s="940"/>
      <c r="BE209" s="940"/>
      <c r="BF209" s="940"/>
      <c r="BG209" s="940"/>
      <c r="BH209" s="941"/>
      <c r="BI209" s="954" t="s">
        <v>187</v>
      </c>
      <c r="BJ209" s="784" t="s">
        <v>151</v>
      </c>
    </row>
    <row r="210" spans="1:62" ht="10.199999999999999" customHeight="1">
      <c r="B210" s="671"/>
      <c r="C210" s="645"/>
      <c r="D210" s="645"/>
      <c r="E210" s="645"/>
      <c r="F210" s="645"/>
      <c r="G210" s="645"/>
      <c r="H210" s="645"/>
      <c r="I210" s="645"/>
      <c r="J210" s="645"/>
      <c r="K210" s="645"/>
      <c r="L210" s="645"/>
      <c r="M210" s="926">
        <f>SUMPRODUCT(C206:L206,C207:L207)*0.001</f>
        <v>257.93702926644045</v>
      </c>
      <c r="N210" s="645"/>
      <c r="O210" s="645"/>
      <c r="P210" s="764"/>
      <c r="Q210" s="645"/>
      <c r="R210" s="645"/>
      <c r="S210" s="645"/>
      <c r="T210" s="645"/>
      <c r="U210" s="645"/>
      <c r="V210" s="645"/>
      <c r="W210" s="645"/>
      <c r="X210" s="645"/>
      <c r="Y210" s="645"/>
      <c r="Z210" s="645"/>
      <c r="AA210" s="460"/>
      <c r="AB210" s="645"/>
      <c r="AC210" s="645"/>
      <c r="AD210" s="645"/>
      <c r="AE210" s="645"/>
      <c r="AF210" s="645"/>
      <c r="AG210" s="645"/>
      <c r="AH210" s="645"/>
      <c r="AI210" s="645"/>
      <c r="AJ210" s="645"/>
      <c r="AK210" s="645"/>
      <c r="AL210" s="645"/>
      <c r="AM210" s="645"/>
      <c r="AN210" s="646"/>
      <c r="AX210" s="808"/>
      <c r="AY210" s="781" t="s">
        <v>154</v>
      </c>
      <c r="AZ210" s="782" t="s">
        <v>180</v>
      </c>
      <c r="BA210" s="782" t="s">
        <v>181</v>
      </c>
      <c r="BB210" s="782" t="s">
        <v>83</v>
      </c>
      <c r="BC210" s="782" t="s">
        <v>11</v>
      </c>
      <c r="BD210" s="782" t="s">
        <v>12</v>
      </c>
      <c r="BE210" s="782" t="s">
        <v>14</v>
      </c>
      <c r="BF210" s="782" t="s">
        <v>38</v>
      </c>
      <c r="BG210" s="782" t="s">
        <v>145</v>
      </c>
      <c r="BH210" s="783" t="s">
        <v>13</v>
      </c>
      <c r="BI210" s="1166">
        <f>'Fertilizer Cost LP Model'!Z208</f>
        <v>131.16516168516165</v>
      </c>
      <c r="BJ210" s="1168" t="str">
        <f>IFERROR(IF(AA46="","",AA46),"")</f>
        <v/>
      </c>
    </row>
    <row r="211" spans="1:62" ht="10.199999999999999" customHeight="1" thickBot="1">
      <c r="B211" s="671"/>
      <c r="C211" s="645"/>
      <c r="D211" s="645"/>
      <c r="E211" s="645"/>
      <c r="F211" s="645"/>
      <c r="G211" s="645"/>
      <c r="H211" s="645"/>
      <c r="I211" s="645"/>
      <c r="J211" s="645"/>
      <c r="K211" s="645"/>
      <c r="L211" s="645"/>
      <c r="M211" s="645"/>
      <c r="N211" s="645"/>
      <c r="O211" s="645"/>
      <c r="P211" s="645"/>
      <c r="Q211" s="645"/>
      <c r="R211" s="645"/>
      <c r="S211" s="645"/>
      <c r="T211" s="645"/>
      <c r="U211" s="645"/>
      <c r="V211" s="645"/>
      <c r="W211" s="645"/>
      <c r="X211" s="645"/>
      <c r="Y211" s="645"/>
      <c r="Z211" s="645"/>
      <c r="AA211" s="460"/>
      <c r="AB211" s="645"/>
      <c r="AC211" s="645"/>
      <c r="AD211" s="645"/>
      <c r="AE211" s="645"/>
      <c r="AF211" s="645"/>
      <c r="AG211" s="645"/>
      <c r="AH211" s="645"/>
      <c r="AI211" s="645"/>
      <c r="AJ211" s="645"/>
      <c r="AK211" s="645"/>
      <c r="AL211" s="645"/>
      <c r="AM211" s="645"/>
      <c r="AN211" s="646"/>
      <c r="AX211" s="809"/>
      <c r="AY211" s="792">
        <f>IF('Fertilizer Cost LP Model'!P209="","",'Fertilizer Cost LP Model'!P209)</f>
        <v>200.000001</v>
      </c>
      <c r="AZ211" s="793">
        <f>IF('Fertilizer Cost LP Model'!Q209="","",'Fertilizer Cost LP Model'!Q209)</f>
        <v>100</v>
      </c>
      <c r="BA211" s="793">
        <f>IF('Fertilizer Cost LP Model'!R209="","",'Fertilizer Cost LP Model'!R209)</f>
        <v>100.00000000000003</v>
      </c>
      <c r="BB211" s="793">
        <f>IF('Fertilizer Cost LP Model'!S209="","",'Fertilizer Cost LP Model'!S209)</f>
        <v>0</v>
      </c>
      <c r="BC211" s="793">
        <f>IF('Fertilizer Cost LP Model'!T209="","",'Fertilizer Cost LP Model'!T209)</f>
        <v>0</v>
      </c>
      <c r="BD211" s="793">
        <f>IF('Fertilizer Cost LP Model'!U209="","",'Fertilizer Cost LP Model'!U209)</f>
        <v>0</v>
      </c>
      <c r="BE211" s="793">
        <f>IF('Fertilizer Cost LP Model'!V209="","",'Fertilizer Cost LP Model'!V209)</f>
        <v>0</v>
      </c>
      <c r="BF211" s="793">
        <f>IF('Fertilizer Cost LP Model'!W209="","",'Fertilizer Cost LP Model'!W209)</f>
        <v>0</v>
      </c>
      <c r="BG211" s="793">
        <f>IF('Fertilizer Cost LP Model'!X209="","",'Fertilizer Cost LP Model'!X209)</f>
        <v>0</v>
      </c>
      <c r="BH211" s="948">
        <f>IF('Fertilizer Cost LP Model'!Y209="","",'Fertilizer Cost LP Model'!Y209)</f>
        <v>80.000000000000014</v>
      </c>
      <c r="BI211" s="1167"/>
      <c r="BJ211" s="1169"/>
    </row>
    <row r="212" spans="1:62" ht="10.199999999999999" customHeight="1">
      <c r="B212" s="671"/>
      <c r="C212" s="645"/>
      <c r="D212" s="645"/>
      <c r="E212" s="645"/>
      <c r="F212" s="645"/>
      <c r="G212" s="645"/>
      <c r="H212" s="645"/>
      <c r="I212" s="645"/>
      <c r="J212" s="645"/>
      <c r="K212" s="645"/>
      <c r="L212" s="645"/>
      <c r="M212" s="645"/>
      <c r="N212" s="645"/>
      <c r="O212" s="645"/>
      <c r="P212" s="645"/>
      <c r="Q212" s="645"/>
      <c r="R212" s="645"/>
      <c r="S212" s="645"/>
      <c r="T212" s="645"/>
      <c r="U212" s="645"/>
      <c r="V212" s="645"/>
      <c r="W212" s="645"/>
      <c r="X212" s="645"/>
      <c r="Y212" s="645"/>
      <c r="Z212" s="645"/>
      <c r="AA212" s="460"/>
      <c r="AB212" s="645"/>
      <c r="AC212" s="645"/>
      <c r="AD212" s="645"/>
      <c r="AE212" s="645"/>
      <c r="AF212" s="645"/>
      <c r="AG212" s="645"/>
      <c r="AH212" s="645"/>
      <c r="AI212" s="645"/>
      <c r="AJ212" s="645"/>
      <c r="AK212" s="645"/>
      <c r="AL212" s="645"/>
      <c r="AM212" s="645"/>
      <c r="AN212" s="646"/>
    </row>
    <row r="213" spans="1:62" ht="13.8" customHeight="1">
      <c r="B213" s="672"/>
      <c r="C213" s="673"/>
      <c r="D213" s="673"/>
      <c r="E213" s="673"/>
      <c r="F213" s="673"/>
      <c r="G213" s="673"/>
      <c r="H213" s="673"/>
      <c r="I213" s="673"/>
      <c r="J213" s="673"/>
      <c r="K213" s="673"/>
      <c r="L213" s="673"/>
      <c r="M213" s="673"/>
      <c r="N213" s="673"/>
      <c r="O213" s="673"/>
      <c r="P213" s="673"/>
      <c r="Q213" s="673"/>
      <c r="R213" s="673"/>
      <c r="S213" s="673"/>
      <c r="T213" s="673"/>
      <c r="U213" s="673"/>
      <c r="V213" s="673"/>
      <c r="W213" s="673"/>
      <c r="X213" s="673"/>
      <c r="Y213" s="673"/>
      <c r="Z213" s="673"/>
      <c r="AA213" s="743"/>
      <c r="AB213" s="673"/>
      <c r="AC213" s="673"/>
      <c r="AD213" s="673"/>
      <c r="AE213" s="673"/>
      <c r="AF213" s="673"/>
      <c r="AG213" s="673"/>
      <c r="AH213" s="673"/>
      <c r="AI213" s="673"/>
      <c r="AJ213" s="673"/>
      <c r="AK213" s="673"/>
      <c r="AL213" s="673"/>
      <c r="AM213" s="673"/>
      <c r="AN213" s="674"/>
    </row>
    <row r="217" spans="1:62" ht="13.8" customHeight="1">
      <c r="A217" s="890">
        <v>1</v>
      </c>
      <c r="B217" s="715" t="s">
        <v>77</v>
      </c>
      <c r="C217" s="717" t="s">
        <v>9</v>
      </c>
      <c r="D217" s="717" t="s">
        <v>78</v>
      </c>
      <c r="E217" s="717" t="s">
        <v>18</v>
      </c>
      <c r="F217" s="717" t="s">
        <v>42</v>
      </c>
      <c r="G217" s="717" t="s">
        <v>79</v>
      </c>
      <c r="H217" s="717" t="s">
        <v>21</v>
      </c>
      <c r="I217" s="717" t="s">
        <v>22</v>
      </c>
      <c r="J217" s="717" t="s">
        <v>23</v>
      </c>
      <c r="K217" s="717" t="s">
        <v>71</v>
      </c>
      <c r="L217" s="717" t="s">
        <v>43</v>
      </c>
      <c r="M217" s="717" t="s">
        <v>26</v>
      </c>
      <c r="N217" s="717" t="s">
        <v>139</v>
      </c>
      <c r="O217" s="717" t="s">
        <v>28</v>
      </c>
      <c r="P217" s="717" t="s">
        <v>138</v>
      </c>
      <c r="Q217" s="717" t="s">
        <v>30</v>
      </c>
      <c r="R217" s="717" t="s">
        <v>140</v>
      </c>
      <c r="S217" s="717" t="s">
        <v>32</v>
      </c>
      <c r="T217" s="717" t="s">
        <v>142</v>
      </c>
      <c r="U217" s="717" t="s">
        <v>34</v>
      </c>
      <c r="V217" s="717" t="s">
        <v>35</v>
      </c>
      <c r="W217" s="717" t="s">
        <v>36</v>
      </c>
      <c r="X217" s="717" t="s">
        <v>141</v>
      </c>
      <c r="Y217" s="827" t="s">
        <v>116</v>
      </c>
      <c r="Z217" s="717" t="s">
        <v>182</v>
      </c>
      <c r="AA217" s="827" t="s">
        <v>183</v>
      </c>
      <c r="AB217" s="717" t="s">
        <v>14</v>
      </c>
      <c r="AC217" s="717" t="s">
        <v>145</v>
      </c>
      <c r="AD217" s="717" t="s">
        <v>38</v>
      </c>
      <c r="AE217" s="717" t="s">
        <v>41</v>
      </c>
      <c r="AF217" s="717"/>
      <c r="AG217" s="717"/>
      <c r="AH217" s="717"/>
      <c r="AI217" s="717"/>
      <c r="AJ217" s="717"/>
      <c r="AK217" s="717"/>
      <c r="AL217" s="717"/>
      <c r="AM217" s="717"/>
      <c r="AN217" s="717"/>
    </row>
    <row r="218" spans="1:62" ht="13.8" customHeight="1">
      <c r="A218" s="690">
        <v>2</v>
      </c>
      <c r="B218" s="715"/>
      <c r="C218" s="717">
        <v>1</v>
      </c>
      <c r="D218" s="717">
        <v>1</v>
      </c>
      <c r="E218" s="717">
        <v>1</v>
      </c>
      <c r="F218" s="717">
        <v>1</v>
      </c>
      <c r="G218" s="717">
        <v>1</v>
      </c>
      <c r="H218" s="717">
        <v>1</v>
      </c>
      <c r="I218" s="717">
        <v>1</v>
      </c>
      <c r="J218" s="717">
        <v>1</v>
      </c>
      <c r="K218" s="717">
        <v>1</v>
      </c>
      <c r="L218" s="717">
        <v>1</v>
      </c>
      <c r="M218" s="717">
        <v>1</v>
      </c>
      <c r="N218" s="717">
        <v>1</v>
      </c>
      <c r="O218" s="717">
        <v>1</v>
      </c>
      <c r="P218" s="717">
        <v>1</v>
      </c>
      <c r="Q218" s="717">
        <v>1</v>
      </c>
      <c r="R218" s="717">
        <v>1</v>
      </c>
      <c r="S218" s="717">
        <v>1</v>
      </c>
      <c r="T218" s="717">
        <v>1</v>
      </c>
      <c r="U218" s="717">
        <v>1</v>
      </c>
      <c r="V218" s="717">
        <v>1</v>
      </c>
      <c r="W218" s="717">
        <v>1</v>
      </c>
      <c r="X218" s="717">
        <v>1</v>
      </c>
      <c r="Y218" s="728">
        <v>1</v>
      </c>
      <c r="Z218" s="717">
        <v>1</v>
      </c>
      <c r="AA218" s="827">
        <v>1</v>
      </c>
      <c r="AB218" s="717">
        <v>1</v>
      </c>
      <c r="AC218" s="717">
        <v>1</v>
      </c>
      <c r="AD218" s="717">
        <v>1</v>
      </c>
      <c r="AE218" s="717">
        <v>1</v>
      </c>
      <c r="AF218" s="717"/>
      <c r="AG218" s="717"/>
      <c r="AH218" s="717"/>
      <c r="AI218" s="717"/>
      <c r="AJ218" s="717"/>
      <c r="AK218" s="717"/>
      <c r="AL218" s="717"/>
      <c r="AM218" s="717"/>
      <c r="AN218" s="717"/>
    </row>
    <row r="219" spans="1:62" ht="13.8" customHeight="1">
      <c r="A219" s="690">
        <v>3</v>
      </c>
      <c r="B219" s="715" t="s">
        <v>80</v>
      </c>
      <c r="C219" s="717"/>
      <c r="D219" s="717">
        <v>18</v>
      </c>
      <c r="E219" s="717"/>
      <c r="F219" s="717">
        <v>11</v>
      </c>
      <c r="G219" s="717">
        <v>46</v>
      </c>
      <c r="H219" s="717">
        <v>21</v>
      </c>
      <c r="I219" s="717">
        <v>34</v>
      </c>
      <c r="J219" s="717">
        <v>27</v>
      </c>
      <c r="K219" s="717"/>
      <c r="L219" s="717"/>
      <c r="M219" s="717"/>
      <c r="N219" s="717">
        <v>82</v>
      </c>
      <c r="O219" s="717"/>
      <c r="P219" s="717"/>
      <c r="Q219" s="717"/>
      <c r="R219" s="717"/>
      <c r="S219" s="717"/>
      <c r="T219" s="717">
        <v>26</v>
      </c>
      <c r="U219" s="717">
        <v>13</v>
      </c>
      <c r="V219" s="717"/>
      <c r="W219" s="717"/>
      <c r="X219" s="717"/>
      <c r="Y219" s="728"/>
      <c r="Z219" s="717"/>
      <c r="AA219" s="827"/>
      <c r="AB219" s="717"/>
      <c r="AC219" s="717"/>
      <c r="AD219" s="717"/>
      <c r="AE219" s="717"/>
      <c r="AF219" s="717"/>
      <c r="AG219" s="717"/>
      <c r="AH219" s="717"/>
      <c r="AI219" s="717"/>
      <c r="AJ219" s="717"/>
      <c r="AK219" s="717"/>
      <c r="AL219" s="717"/>
      <c r="AM219" s="717"/>
      <c r="AN219" s="717"/>
    </row>
    <row r="220" spans="1:62" ht="13.8" customHeight="1">
      <c r="A220" s="690">
        <v>4</v>
      </c>
      <c r="B220" s="715" t="s">
        <v>81</v>
      </c>
      <c r="C220" s="717"/>
      <c r="D220" s="717">
        <v>46</v>
      </c>
      <c r="E220" s="717"/>
      <c r="F220" s="717">
        <v>52</v>
      </c>
      <c r="G220" s="717"/>
      <c r="H220" s="717"/>
      <c r="I220" s="717"/>
      <c r="J220" s="717"/>
      <c r="K220" s="717"/>
      <c r="L220" s="717"/>
      <c r="M220" s="717"/>
      <c r="N220" s="717"/>
      <c r="O220" s="717">
        <v>46</v>
      </c>
      <c r="P220" s="717">
        <v>28</v>
      </c>
      <c r="Q220" s="717"/>
      <c r="R220" s="717"/>
      <c r="S220" s="717">
        <v>18</v>
      </c>
      <c r="T220" s="717"/>
      <c r="U220" s="717"/>
      <c r="V220" s="717"/>
      <c r="W220" s="717"/>
      <c r="X220" s="717">
        <v>54</v>
      </c>
      <c r="Y220" s="728">
        <v>28</v>
      </c>
      <c r="Z220" s="717"/>
      <c r="AA220" s="827"/>
      <c r="AB220" s="717"/>
      <c r="AC220" s="717"/>
      <c r="AD220" s="717"/>
      <c r="AE220" s="717"/>
      <c r="AF220" s="717"/>
      <c r="AG220" s="717"/>
      <c r="AH220" s="717"/>
      <c r="AI220" s="717"/>
      <c r="AJ220" s="717"/>
      <c r="AK220" s="717"/>
      <c r="AL220" s="717"/>
      <c r="AM220" s="717"/>
      <c r="AN220" s="717"/>
    </row>
    <row r="221" spans="1:62" ht="13.8" customHeight="1">
      <c r="A221" s="690">
        <v>5</v>
      </c>
      <c r="B221" s="715" t="s">
        <v>82</v>
      </c>
      <c r="C221" s="721">
        <v>14.060984003516078</v>
      </c>
      <c r="D221" s="717"/>
      <c r="E221" s="717">
        <v>22.1</v>
      </c>
      <c r="F221" s="717"/>
      <c r="G221" s="717"/>
      <c r="H221" s="717"/>
      <c r="I221" s="717"/>
      <c r="J221" s="717"/>
      <c r="K221" s="717">
        <v>50</v>
      </c>
      <c r="L221" s="717">
        <v>60</v>
      </c>
      <c r="M221" s="717"/>
      <c r="N221" s="717"/>
      <c r="O221" s="717"/>
      <c r="P221" s="717"/>
      <c r="Q221" s="717">
        <v>22</v>
      </c>
      <c r="R221" s="717"/>
      <c r="S221" s="717"/>
      <c r="T221" s="717"/>
      <c r="U221" s="717">
        <v>44</v>
      </c>
      <c r="V221" s="717"/>
      <c r="W221" s="717"/>
      <c r="X221" s="717"/>
      <c r="Y221" s="728"/>
      <c r="Z221" s="717">
        <v>40</v>
      </c>
      <c r="AA221" s="827">
        <v>30</v>
      </c>
      <c r="AB221" s="717"/>
      <c r="AC221" s="717"/>
      <c r="AD221" s="717"/>
      <c r="AE221" s="717"/>
      <c r="AF221" s="717"/>
      <c r="AG221" s="717"/>
      <c r="AH221" s="717"/>
      <c r="AI221" s="717"/>
      <c r="AJ221" s="717"/>
      <c r="AK221" s="717"/>
      <c r="AL221" s="717"/>
      <c r="AM221" s="717"/>
      <c r="AN221" s="717"/>
    </row>
    <row r="222" spans="1:62" ht="13.8" customHeight="1">
      <c r="A222" s="690">
        <v>6</v>
      </c>
      <c r="B222" s="715" t="s">
        <v>83</v>
      </c>
      <c r="C222" s="721">
        <v>19.145626881390516</v>
      </c>
      <c r="D222" s="717"/>
      <c r="E222" s="717">
        <v>22.5</v>
      </c>
      <c r="F222" s="717"/>
      <c r="G222" s="717"/>
      <c r="H222" s="717">
        <v>24</v>
      </c>
      <c r="I222" s="717"/>
      <c r="J222" s="717"/>
      <c r="K222" s="717">
        <v>18</v>
      </c>
      <c r="L222" s="717"/>
      <c r="M222" s="717">
        <v>22</v>
      </c>
      <c r="N222" s="717"/>
      <c r="O222" s="717"/>
      <c r="P222" s="717"/>
      <c r="Q222" s="717">
        <v>18</v>
      </c>
      <c r="R222" s="717">
        <v>20</v>
      </c>
      <c r="S222" s="717">
        <v>11</v>
      </c>
      <c r="T222" s="717"/>
      <c r="U222" s="717"/>
      <c r="V222" s="717"/>
      <c r="W222" s="717"/>
      <c r="X222" s="717"/>
      <c r="Y222" s="728"/>
      <c r="Z222" s="717">
        <v>4.8</v>
      </c>
      <c r="AA222" s="827">
        <v>16.8</v>
      </c>
      <c r="AB222" s="717"/>
      <c r="AC222" s="717"/>
      <c r="AD222" s="717"/>
      <c r="AE222" s="717"/>
      <c r="AF222" s="717"/>
      <c r="AG222" s="717"/>
      <c r="AH222" s="717"/>
      <c r="AI222" s="717"/>
      <c r="AJ222" s="717"/>
      <c r="AK222" s="717"/>
      <c r="AL222" s="717"/>
      <c r="AM222" s="717"/>
      <c r="AN222" s="717"/>
    </row>
    <row r="223" spans="1:62" ht="13.8" customHeight="1">
      <c r="A223" s="690">
        <v>7</v>
      </c>
      <c r="B223" s="715" t="s">
        <v>11</v>
      </c>
      <c r="C223" s="721">
        <v>6.0161308245362353</v>
      </c>
      <c r="D223" s="717"/>
      <c r="E223" s="717">
        <v>17.899999999999999</v>
      </c>
      <c r="F223" s="717"/>
      <c r="G223" s="717"/>
      <c r="H223" s="717"/>
      <c r="I223" s="717"/>
      <c r="J223" s="717"/>
      <c r="K223" s="717"/>
      <c r="L223" s="717"/>
      <c r="M223" s="717"/>
      <c r="N223" s="717"/>
      <c r="O223" s="717"/>
      <c r="P223" s="717"/>
      <c r="Q223" s="717">
        <v>18</v>
      </c>
      <c r="R223" s="717">
        <v>25</v>
      </c>
      <c r="S223" s="717"/>
      <c r="T223" s="717"/>
      <c r="U223" s="717"/>
      <c r="V223" s="717">
        <v>21.58</v>
      </c>
      <c r="W223" s="717">
        <v>3</v>
      </c>
      <c r="X223" s="717"/>
      <c r="Y223" s="728"/>
      <c r="Z223" s="717">
        <v>6</v>
      </c>
      <c r="AA223" s="827">
        <v>10</v>
      </c>
      <c r="AB223" s="717"/>
      <c r="AC223" s="717"/>
      <c r="AD223" s="717"/>
      <c r="AE223" s="717"/>
      <c r="AF223" s="717"/>
      <c r="AG223" s="717"/>
      <c r="AH223" s="717"/>
      <c r="AI223" s="717"/>
      <c r="AJ223" s="717"/>
      <c r="AK223" s="717"/>
      <c r="AL223" s="717"/>
      <c r="AM223" s="717"/>
      <c r="AN223" s="717"/>
    </row>
    <row r="224" spans="1:62" ht="13.8" customHeight="1">
      <c r="A224" s="690">
        <v>8</v>
      </c>
      <c r="B224" s="715" t="s">
        <v>12</v>
      </c>
      <c r="C224" s="721">
        <v>16.741049349443156</v>
      </c>
      <c r="D224" s="717"/>
      <c r="E224" s="717"/>
      <c r="F224" s="717"/>
      <c r="G224" s="717"/>
      <c r="H224" s="717"/>
      <c r="I224" s="717"/>
      <c r="J224" s="717">
        <v>22</v>
      </c>
      <c r="K224" s="717"/>
      <c r="L224" s="717"/>
      <c r="M224" s="717">
        <v>33</v>
      </c>
      <c r="N224" s="717"/>
      <c r="O224" s="717">
        <v>20</v>
      </c>
      <c r="P224" s="717"/>
      <c r="Q224" s="717"/>
      <c r="R224" s="717"/>
      <c r="S224" s="717">
        <v>28</v>
      </c>
      <c r="T224" s="717"/>
      <c r="U224" s="717"/>
      <c r="V224" s="717">
        <v>30.799999999999997</v>
      </c>
      <c r="W224" s="717">
        <v>52</v>
      </c>
      <c r="X224" s="717"/>
      <c r="Y224" s="728"/>
      <c r="Z224" s="717"/>
      <c r="AA224" s="827"/>
      <c r="AB224" s="717"/>
      <c r="AC224" s="717"/>
      <c r="AD224" s="717"/>
      <c r="AE224" s="717"/>
      <c r="AF224" s="717"/>
      <c r="AG224" s="717"/>
      <c r="AH224" s="717"/>
      <c r="AI224" s="717"/>
      <c r="AJ224" s="717"/>
      <c r="AK224" s="717"/>
      <c r="AL224" s="717"/>
      <c r="AM224" s="717"/>
      <c r="AN224" s="717"/>
    </row>
    <row r="225" spans="1:40" ht="13.8" customHeight="1">
      <c r="A225" s="690">
        <v>9</v>
      </c>
      <c r="B225" s="715" t="s">
        <v>13</v>
      </c>
      <c r="C225" s="717">
        <v>2</v>
      </c>
      <c r="D225" s="717"/>
      <c r="E225" s="717"/>
      <c r="F225" s="717"/>
      <c r="G225" s="717"/>
      <c r="H225" s="717"/>
      <c r="I225" s="717"/>
      <c r="J225" s="717"/>
      <c r="K225" s="717">
        <v>2</v>
      </c>
      <c r="L225" s="717">
        <v>48</v>
      </c>
      <c r="M225" s="717"/>
      <c r="N225" s="717"/>
      <c r="O225" s="717"/>
      <c r="P225" s="717"/>
      <c r="Q225" s="717"/>
      <c r="R225" s="717"/>
      <c r="S225" s="717"/>
      <c r="T225" s="717">
        <v>66</v>
      </c>
      <c r="U225" s="717"/>
      <c r="V225" s="717"/>
      <c r="W225" s="717"/>
      <c r="X225" s="717"/>
      <c r="Y225" s="728"/>
      <c r="Z225" s="717">
        <v>28.8</v>
      </c>
      <c r="AA225" s="827">
        <v>0.5</v>
      </c>
      <c r="AB225" s="717"/>
      <c r="AC225" s="717"/>
      <c r="AD225" s="717"/>
      <c r="AE225" s="717"/>
      <c r="AF225" s="717"/>
      <c r="AG225" s="717"/>
      <c r="AH225" s="717"/>
      <c r="AI225" s="717"/>
      <c r="AJ225" s="717"/>
      <c r="AK225" s="717"/>
      <c r="AL225" s="717"/>
      <c r="AM225" s="717"/>
      <c r="AN225" s="717"/>
    </row>
    <row r="226" spans="1:40" ht="13.8" customHeight="1">
      <c r="A226" s="690">
        <v>10</v>
      </c>
      <c r="B226" s="715" t="s">
        <v>14</v>
      </c>
      <c r="C226" s="717"/>
      <c r="D226" s="717"/>
      <c r="E226" s="717"/>
      <c r="F226" s="717"/>
      <c r="G226" s="717"/>
      <c r="H226" s="717"/>
      <c r="I226" s="717"/>
      <c r="J226" s="717"/>
      <c r="K226" s="717"/>
      <c r="L226" s="717"/>
      <c r="M226" s="717"/>
      <c r="N226" s="717"/>
      <c r="O226" s="717"/>
      <c r="P226" s="717"/>
      <c r="Q226" s="717"/>
      <c r="R226" s="717"/>
      <c r="S226" s="717"/>
      <c r="T226" s="717"/>
      <c r="U226" s="717"/>
      <c r="V226" s="717"/>
      <c r="W226" s="717"/>
      <c r="X226" s="717"/>
      <c r="Y226" s="728"/>
      <c r="Z226" s="717"/>
      <c r="AA226" s="827"/>
      <c r="AB226" s="717">
        <v>50</v>
      </c>
      <c r="AC226" s="717"/>
      <c r="AD226" s="717"/>
      <c r="AE226" s="717"/>
      <c r="AF226" s="717"/>
      <c r="AG226" s="717"/>
      <c r="AH226" s="717"/>
      <c r="AI226" s="717"/>
      <c r="AJ226" s="717"/>
      <c r="AK226" s="717"/>
      <c r="AL226" s="717"/>
      <c r="AM226" s="717"/>
      <c r="AN226" s="717"/>
    </row>
    <row r="227" spans="1:40" ht="13.8" customHeight="1">
      <c r="A227" s="690">
        <v>11</v>
      </c>
      <c r="B227" s="715" t="s">
        <v>38</v>
      </c>
      <c r="C227" s="717"/>
      <c r="D227" s="717"/>
      <c r="E227" s="717"/>
      <c r="F227" s="717"/>
      <c r="G227" s="717"/>
      <c r="H227" s="717"/>
      <c r="I227" s="717"/>
      <c r="J227" s="717"/>
      <c r="K227" s="717"/>
      <c r="L227" s="717"/>
      <c r="M227" s="717"/>
      <c r="N227" s="717"/>
      <c r="O227" s="717"/>
      <c r="P227" s="717"/>
      <c r="Q227" s="717"/>
      <c r="R227" s="717"/>
      <c r="S227" s="717"/>
      <c r="T227" s="717"/>
      <c r="U227" s="717"/>
      <c r="V227" s="717"/>
      <c r="W227" s="717"/>
      <c r="X227" s="717"/>
      <c r="Y227" s="728"/>
      <c r="Z227" s="717"/>
      <c r="AA227" s="728"/>
      <c r="AB227" s="717"/>
      <c r="AC227" s="717"/>
      <c r="AD227" s="717">
        <v>50</v>
      </c>
      <c r="AE227" s="717"/>
      <c r="AF227" s="717"/>
      <c r="AG227" s="717"/>
      <c r="AH227" s="717"/>
      <c r="AI227" s="717"/>
      <c r="AJ227" s="717"/>
      <c r="AK227" s="717"/>
      <c r="AL227" s="717"/>
      <c r="AM227" s="717"/>
      <c r="AN227" s="717"/>
    </row>
    <row r="228" spans="1:40" ht="13.8" customHeight="1">
      <c r="A228" s="690">
        <v>12</v>
      </c>
      <c r="B228" s="715" t="s">
        <v>145</v>
      </c>
      <c r="C228" s="717"/>
      <c r="D228" s="717"/>
      <c r="E228" s="717"/>
      <c r="F228" s="717"/>
      <c r="G228" s="717"/>
      <c r="H228" s="717"/>
      <c r="I228" s="717"/>
      <c r="J228" s="717"/>
      <c r="K228" s="717"/>
      <c r="L228" s="717"/>
      <c r="M228" s="717"/>
      <c r="N228" s="717"/>
      <c r="O228" s="717"/>
      <c r="P228" s="717"/>
      <c r="Q228" s="717"/>
      <c r="R228" s="717"/>
      <c r="S228" s="717"/>
      <c r="T228" s="717"/>
      <c r="U228" s="717"/>
      <c r="V228" s="717"/>
      <c r="W228" s="717"/>
      <c r="X228" s="717"/>
      <c r="Y228" s="728"/>
      <c r="Z228" s="717"/>
      <c r="AA228" s="728"/>
      <c r="AB228" s="717"/>
      <c r="AC228" s="717">
        <v>50</v>
      </c>
      <c r="AD228" s="717"/>
      <c r="AE228" s="717"/>
      <c r="AF228" s="717"/>
      <c r="AG228" s="717"/>
      <c r="AH228" s="717"/>
      <c r="AI228" s="717"/>
      <c r="AJ228" s="717"/>
      <c r="AK228" s="717"/>
      <c r="AL228" s="717"/>
      <c r="AM228" s="717"/>
      <c r="AN228" s="717"/>
    </row>
    <row r="229" spans="1:40" ht="13.8" customHeight="1">
      <c r="A229" s="690">
        <v>13</v>
      </c>
      <c r="B229" s="715" t="s">
        <v>41</v>
      </c>
      <c r="C229" s="717"/>
      <c r="D229" s="717"/>
      <c r="E229" s="717"/>
      <c r="F229" s="717"/>
      <c r="G229" s="717"/>
      <c r="H229" s="717"/>
      <c r="I229" s="717"/>
      <c r="J229" s="717"/>
      <c r="K229" s="717"/>
      <c r="L229" s="717"/>
      <c r="M229" s="717"/>
      <c r="N229" s="717"/>
      <c r="O229" s="717"/>
      <c r="P229" s="717"/>
      <c r="Q229" s="717"/>
      <c r="R229" s="717"/>
      <c r="S229" s="717"/>
      <c r="T229" s="717"/>
      <c r="U229" s="717"/>
      <c r="V229" s="717"/>
      <c r="W229" s="717"/>
      <c r="X229" s="717"/>
      <c r="Y229" s="728"/>
      <c r="Z229" s="717"/>
      <c r="AA229" s="728"/>
      <c r="AB229" s="717"/>
      <c r="AC229" s="717"/>
      <c r="AD229" s="717"/>
      <c r="AE229" s="717"/>
      <c r="AF229" s="717"/>
      <c r="AG229" s="717"/>
      <c r="AH229" s="717"/>
      <c r="AI229" s="717"/>
      <c r="AJ229" s="717"/>
      <c r="AK229" s="717"/>
      <c r="AL229" s="717"/>
      <c r="AM229" s="717"/>
      <c r="AN229" s="717"/>
    </row>
    <row r="230" spans="1:40" ht="13.8" customHeight="1">
      <c r="A230" s="690">
        <v>14</v>
      </c>
      <c r="B230" s="715" t="s">
        <v>9</v>
      </c>
      <c r="C230" s="717">
        <v>1</v>
      </c>
      <c r="D230" s="717"/>
      <c r="E230" s="717"/>
      <c r="F230" s="717"/>
      <c r="G230" s="717"/>
      <c r="H230" s="717"/>
      <c r="I230" s="717"/>
      <c r="J230" s="717"/>
      <c r="K230" s="717"/>
      <c r="L230" s="717"/>
      <c r="M230" s="717"/>
      <c r="N230" s="717"/>
      <c r="O230" s="717"/>
      <c r="P230" s="717"/>
      <c r="Q230" s="717"/>
      <c r="R230" s="717"/>
      <c r="S230" s="717"/>
      <c r="T230" s="717"/>
      <c r="U230" s="717"/>
      <c r="V230" s="717"/>
      <c r="W230" s="717"/>
      <c r="X230" s="717"/>
      <c r="Y230" s="728"/>
      <c r="Z230" s="717"/>
      <c r="AA230" s="728"/>
      <c r="AB230" s="717"/>
      <c r="AC230" s="717"/>
      <c r="AD230" s="717"/>
      <c r="AE230" s="717"/>
      <c r="AF230" s="717"/>
      <c r="AG230" s="717"/>
      <c r="AH230" s="717"/>
      <c r="AI230" s="717"/>
      <c r="AJ230" s="717"/>
      <c r="AK230" s="717"/>
      <c r="AL230" s="717"/>
      <c r="AM230" s="717"/>
      <c r="AN230" s="717"/>
    </row>
    <row r="231" spans="1:40" ht="13.8" customHeight="1">
      <c r="A231" s="690">
        <v>15</v>
      </c>
      <c r="B231" s="715" t="s">
        <v>101</v>
      </c>
      <c r="C231" s="717">
        <v>76</v>
      </c>
      <c r="D231" s="717">
        <v>29.2</v>
      </c>
      <c r="E231" s="717">
        <v>80.400000000000006</v>
      </c>
      <c r="F231" s="717">
        <v>26.7</v>
      </c>
      <c r="G231" s="717">
        <v>74.400000000000006</v>
      </c>
      <c r="H231" s="717">
        <v>88.3</v>
      </c>
      <c r="I231" s="717">
        <v>104</v>
      </c>
      <c r="J231" s="717"/>
      <c r="K231" s="717">
        <v>97</v>
      </c>
      <c r="L231" s="717">
        <v>129.5</v>
      </c>
      <c r="M231" s="717">
        <v>8.1</v>
      </c>
      <c r="N231" s="717">
        <v>47.1</v>
      </c>
      <c r="O231" s="717">
        <v>10.119999999999999</v>
      </c>
      <c r="P231" s="717"/>
      <c r="Q231" s="717">
        <v>80.400000000000006</v>
      </c>
      <c r="R231" s="717">
        <v>44</v>
      </c>
      <c r="S231" s="717">
        <v>7.8</v>
      </c>
      <c r="T231" s="717"/>
      <c r="U231" s="717">
        <v>69.5</v>
      </c>
      <c r="V231" s="717">
        <v>0.8</v>
      </c>
      <c r="W231" s="717"/>
      <c r="X231" s="717"/>
      <c r="Y231" s="728"/>
      <c r="Z231" s="717"/>
      <c r="AA231" s="728"/>
      <c r="AB231" s="717"/>
      <c r="AC231" s="717"/>
      <c r="AD231" s="717"/>
      <c r="AE231" s="717"/>
      <c r="AF231" s="717"/>
      <c r="AG231" s="717"/>
      <c r="AH231" s="717"/>
      <c r="AI231" s="717"/>
      <c r="AJ231" s="717"/>
      <c r="AK231" s="717"/>
      <c r="AL231" s="717"/>
      <c r="AM231" s="717"/>
      <c r="AN231" s="717"/>
    </row>
    <row r="232" spans="1:40" ht="13.8" customHeight="1">
      <c r="A232" s="690">
        <v>16</v>
      </c>
      <c r="B232" s="715" t="s">
        <v>106</v>
      </c>
      <c r="C232" s="717">
        <v>51</v>
      </c>
      <c r="D232" s="717">
        <v>800</v>
      </c>
      <c r="E232" s="717">
        <v>766</v>
      </c>
      <c r="F232" s="717">
        <v>500</v>
      </c>
      <c r="G232" s="717">
        <v>1800</v>
      </c>
      <c r="H232" s="717">
        <v>840</v>
      </c>
      <c r="I232" s="717">
        <v>2300</v>
      </c>
      <c r="J232" s="717">
        <v>2000</v>
      </c>
      <c r="K232" s="717">
        <v>766</v>
      </c>
      <c r="L232" s="717">
        <v>350</v>
      </c>
      <c r="M232" s="717">
        <v>125</v>
      </c>
      <c r="N232" s="717"/>
      <c r="O232" s="717">
        <v>200</v>
      </c>
      <c r="P232" s="717"/>
      <c r="Q232" s="717"/>
      <c r="R232" s="717">
        <v>118</v>
      </c>
      <c r="S232" s="717">
        <v>200</v>
      </c>
      <c r="T232" s="717"/>
      <c r="U232" s="717"/>
      <c r="V232" s="717"/>
      <c r="W232" s="717"/>
      <c r="X232" s="717"/>
      <c r="Y232" s="728"/>
      <c r="Z232" s="717"/>
      <c r="AA232" s="728"/>
      <c r="AB232" s="717"/>
      <c r="AC232" s="717"/>
      <c r="AD232" s="717"/>
      <c r="AE232" s="717"/>
      <c r="AF232" s="717"/>
      <c r="AG232" s="717"/>
      <c r="AH232" s="717"/>
      <c r="AI232" s="717"/>
      <c r="AJ232" s="717"/>
      <c r="AK232" s="717"/>
      <c r="AL232" s="717"/>
      <c r="AM232" s="717"/>
      <c r="AN232" s="717"/>
    </row>
    <row r="233" spans="1:40" ht="13.8" customHeight="1">
      <c r="A233" s="757">
        <v>17</v>
      </c>
      <c r="B233" s="715" t="s">
        <v>13</v>
      </c>
      <c r="C233" s="717">
        <v>2</v>
      </c>
      <c r="D233" s="717"/>
      <c r="E233" s="717"/>
      <c r="F233" s="717"/>
      <c r="G233" s="717"/>
      <c r="H233" s="717"/>
      <c r="I233" s="717"/>
      <c r="J233" s="717"/>
      <c r="K233" s="717">
        <v>3</v>
      </c>
      <c r="L233" s="717">
        <v>48</v>
      </c>
      <c r="M233" s="717"/>
      <c r="N233" s="717"/>
      <c r="O233" s="717"/>
      <c r="P233" s="717"/>
      <c r="Q233" s="717"/>
      <c r="R233" s="717"/>
      <c r="S233" s="717"/>
      <c r="T233" s="717">
        <v>66</v>
      </c>
      <c r="U233" s="717"/>
      <c r="V233" s="717"/>
      <c r="W233" s="717"/>
      <c r="X233" s="717"/>
      <c r="Y233" s="728"/>
      <c r="Z233" s="717"/>
      <c r="AA233" s="728"/>
      <c r="AB233" s="717"/>
      <c r="AC233" s="717"/>
      <c r="AD233" s="717"/>
      <c r="AE233" s="717"/>
      <c r="AF233" s="717"/>
      <c r="AG233" s="717"/>
      <c r="AH233" s="717"/>
      <c r="AI233" s="717"/>
      <c r="AJ233" s="717"/>
      <c r="AK233" s="717"/>
      <c r="AL233" s="717"/>
      <c r="AM233" s="717"/>
      <c r="AN233" s="717"/>
    </row>
  </sheetData>
  <sheetProtection algorithmName="SHA-512" hashValue="5jldAgq7xs+oWAJIHbHGdNuUyHd0qToEEXAfKa6u9yCqo49F/JK5Wr86TTiiObb+sSCOWuYdrzpfJIWLQCKd5w==" saltValue="rp54hYvocssko0QHhRDXUA==" spinCount="100000" sheet="1" objects="1" scenarios="1" selectLockedCells="1"/>
  <mergeCells count="50">
    <mergeCell ref="AA30:AA31"/>
    <mergeCell ref="T21:U21"/>
    <mergeCell ref="B28:B29"/>
    <mergeCell ref="O28:O29"/>
    <mergeCell ref="M30:M31"/>
    <mergeCell ref="Z30:Z31"/>
    <mergeCell ref="AX173:AX174"/>
    <mergeCell ref="BI175:BI176"/>
    <mergeCell ref="BJ175:BJ176"/>
    <mergeCell ref="B36:B37"/>
    <mergeCell ref="O36:O37"/>
    <mergeCell ref="M38:M39"/>
    <mergeCell ref="Z38:Z39"/>
    <mergeCell ref="AA38:AA39"/>
    <mergeCell ref="B44:B45"/>
    <mergeCell ref="O44:O45"/>
    <mergeCell ref="B190:B191"/>
    <mergeCell ref="O190:O191"/>
    <mergeCell ref="AA190:AA191"/>
    <mergeCell ref="M46:M47"/>
    <mergeCell ref="Z46:Z47"/>
    <mergeCell ref="AA46:AA47"/>
    <mergeCell ref="BJ196:BJ197"/>
    <mergeCell ref="AX180:AX181"/>
    <mergeCell ref="BI182:BI183"/>
    <mergeCell ref="BJ182:BJ183"/>
    <mergeCell ref="AX187:AX188"/>
    <mergeCell ref="BI189:BI190"/>
    <mergeCell ref="M192:M193"/>
    <mergeCell ref="Z192:Z193"/>
    <mergeCell ref="AA192:AA193"/>
    <mergeCell ref="AX194:AX195"/>
    <mergeCell ref="BI196:BI197"/>
    <mergeCell ref="B198:B199"/>
    <mergeCell ref="O198:O199"/>
    <mergeCell ref="AA198:AA199"/>
    <mergeCell ref="M200:M201"/>
    <mergeCell ref="Z200:Z201"/>
    <mergeCell ref="AA200:AA201"/>
    <mergeCell ref="BI210:BI211"/>
    <mergeCell ref="BJ210:BJ211"/>
    <mergeCell ref="AX201:AX202"/>
    <mergeCell ref="BI203:BI204"/>
    <mergeCell ref="B206:B207"/>
    <mergeCell ref="O206:O207"/>
    <mergeCell ref="AA206:AA207"/>
    <mergeCell ref="M208:M209"/>
    <mergeCell ref="Z208:Z209"/>
    <mergeCell ref="AA208:AA209"/>
    <mergeCell ref="AX208:AX209"/>
  </mergeCells>
  <conditionalFormatting sqref="C111:Q123 C130:Q144 B149:AN165">
    <cfRule type="containsBlanks" dxfId="96" priority="31">
      <formula>LEN(TRIM(B111))=0</formula>
    </cfRule>
  </conditionalFormatting>
  <conditionalFormatting sqref="Z30 Z192:Z193">
    <cfRule type="cellIs" dxfId="95" priority="29" operator="lessThan">
      <formula>$M$30</formula>
    </cfRule>
    <cfRule type="cellIs" dxfId="94" priority="30" operator="greaterThan">
      <formula>$M$30</formula>
    </cfRule>
  </conditionalFormatting>
  <conditionalFormatting sqref="C31">
    <cfRule type="cellIs" dxfId="93" priority="24" operator="lessThan">
      <formula>$C$22</formula>
    </cfRule>
  </conditionalFormatting>
  <conditionalFormatting sqref="D31">
    <cfRule type="cellIs" dxfId="92" priority="23" operator="lessThan">
      <formula>$D$22</formula>
    </cfRule>
  </conditionalFormatting>
  <conditionalFormatting sqref="E31">
    <cfRule type="cellIs" dxfId="91" priority="22" stopIfTrue="1" operator="lessThan">
      <formula>$E$22</formula>
    </cfRule>
  </conditionalFormatting>
  <conditionalFormatting sqref="C39">
    <cfRule type="cellIs" dxfId="90" priority="21" operator="lessThan">
      <formula>$C$22</formula>
    </cfRule>
  </conditionalFormatting>
  <conditionalFormatting sqref="D39">
    <cfRule type="cellIs" dxfId="89" priority="20" operator="lessThan">
      <formula>$D$22</formula>
    </cfRule>
  </conditionalFormatting>
  <conditionalFormatting sqref="E39">
    <cfRule type="cellIs" dxfId="88" priority="19" stopIfTrue="1" operator="lessThan">
      <formula>$E$22</formula>
    </cfRule>
  </conditionalFormatting>
  <conditionalFormatting sqref="C47">
    <cfRule type="cellIs" dxfId="87" priority="18" operator="lessThan">
      <formula>$C$22</formula>
    </cfRule>
  </conditionalFormatting>
  <conditionalFormatting sqref="D47">
    <cfRule type="cellIs" dxfId="86" priority="17" operator="lessThan">
      <formula>$D$22</formula>
    </cfRule>
  </conditionalFormatting>
  <conditionalFormatting sqref="E47">
    <cfRule type="cellIs" dxfId="85" priority="16" stopIfTrue="1" operator="lessThan">
      <formula>$E$22</formula>
    </cfRule>
  </conditionalFormatting>
  <conditionalFormatting sqref="P31">
    <cfRule type="cellIs" dxfId="84" priority="15" operator="lessThan">
      <formula>$C$22</formula>
    </cfRule>
  </conditionalFormatting>
  <conditionalFormatting sqref="Q31">
    <cfRule type="cellIs" dxfId="83" priority="14" operator="lessThan">
      <formula>$D$22</formula>
    </cfRule>
  </conditionalFormatting>
  <conditionalFormatting sqref="R31">
    <cfRule type="cellIs" dxfId="82" priority="13" operator="lessThan">
      <formula>$E$22</formula>
    </cfRule>
  </conditionalFormatting>
  <conditionalFormatting sqref="R47">
    <cfRule type="cellIs" dxfId="81" priority="7" operator="lessThan">
      <formula>$E$22</formula>
    </cfRule>
  </conditionalFormatting>
  <conditionalFormatting sqref="P39">
    <cfRule type="cellIs" dxfId="80" priority="12" operator="lessThan">
      <formula>$C$22</formula>
    </cfRule>
  </conditionalFormatting>
  <conditionalFormatting sqref="Q39">
    <cfRule type="cellIs" dxfId="79" priority="11" operator="lessThan">
      <formula>$D$22</formula>
    </cfRule>
  </conditionalFormatting>
  <conditionalFormatting sqref="R39">
    <cfRule type="cellIs" dxfId="78" priority="10" operator="lessThan">
      <formula>$E$22</formula>
    </cfRule>
  </conditionalFormatting>
  <conditionalFormatting sqref="P47">
    <cfRule type="cellIs" dxfId="77" priority="9" operator="lessThan">
      <formula>$C$22</formula>
    </cfRule>
  </conditionalFormatting>
  <conditionalFormatting sqref="Q47">
    <cfRule type="cellIs" dxfId="76" priority="8" operator="lessThan">
      <formula>$D$22</formula>
    </cfRule>
  </conditionalFormatting>
  <conditionalFormatting sqref="Y193">
    <cfRule type="cellIs" dxfId="75" priority="32" operator="greaterThan">
      <formula>$L$31</formula>
    </cfRule>
    <cfRule type="cellIs" dxfId="74" priority="33" operator="lessThan">
      <formula>$L$31</formula>
    </cfRule>
  </conditionalFormatting>
  <conditionalFormatting sqref="B217:AN233">
    <cfRule type="containsBlanks" dxfId="73" priority="6">
      <formula>LEN(TRIM(B217))=0</formula>
    </cfRule>
  </conditionalFormatting>
  <conditionalFormatting sqref="Z38">
    <cfRule type="cellIs" dxfId="72" priority="4" operator="lessThan">
      <formula>$M$30</formula>
    </cfRule>
    <cfRule type="cellIs" dxfId="71" priority="5" operator="greaterThan">
      <formula>$M$30</formula>
    </cfRule>
  </conditionalFormatting>
  <conditionalFormatting sqref="Z46">
    <cfRule type="cellIs" dxfId="70" priority="2" operator="lessThan">
      <formula>$M$30</formula>
    </cfRule>
    <cfRule type="cellIs" dxfId="69" priority="3" operator="greaterThan">
      <formula>$M$30</formula>
    </cfRule>
  </conditionalFormatting>
  <conditionalFormatting sqref="X22">
    <cfRule type="cellIs" dxfId="68" priority="1" operator="equal">
      <formula>0</formula>
    </cfRule>
  </conditionalFormatting>
  <dataValidations count="11">
    <dataValidation type="list" allowBlank="1" showInputMessage="1" showErrorMessage="1" sqref="B17" xr:uid="{5B995868-B9B9-4975-9F27-BC0965163BF9}">
      <formula1>"POLY4"</formula1>
    </dataValidation>
    <dataValidation type="list" allowBlank="1" showInputMessage="1" showErrorMessage="1" sqref="C17:AA17" xr:uid="{AD61DD1A-2F1F-4CB0-9D9A-81B44802F6D9}">
      <formula1>$D$149:$AF$149</formula1>
    </dataValidation>
    <dataValidation type="list" allowBlank="1" showInputMessage="1" showErrorMessage="1" sqref="F23:G23" xr:uid="{677B2CC7-E27B-4FFB-8391-FEC9BE0C4287}">
      <formula1>"Equal To, Greater Than, No Limit"</formula1>
    </dataValidation>
    <dataValidation type="list" allowBlank="1" showInputMessage="1" showErrorMessage="1" sqref="F5:H7 F11:H13" xr:uid="{EB911271-0168-43F3-A6C8-D264E02C88A2}">
      <formula1>$B$171:$B$177</formula1>
    </dataValidation>
    <dataValidation type="list" allowBlank="1" showInputMessage="1" showErrorMessage="1" sqref="J5:L7 J11:L13" xr:uid="{7BFA5D32-2BFF-454E-B74A-A20C5B1C4C4C}">
      <formula1>$C$171:$C$177</formula1>
    </dataValidation>
    <dataValidation type="list" allowBlank="1" showInputMessage="1" showErrorMessage="1" sqref="N11:P13" xr:uid="{CE3E502A-BADC-4017-ADCE-BD9DB1A02FB0}">
      <formula1>$D$171:$D$177</formula1>
    </dataValidation>
    <dataValidation type="list" allowBlank="1" showInputMessage="1" showErrorMessage="1" sqref="R5:T7 R11:T13" xr:uid="{5A94DD33-59DF-4D76-AAF7-8C03FF79357C}">
      <formula1>$E$171:$E$179</formula1>
    </dataValidation>
    <dataValidation type="list" allowBlank="1" showInputMessage="1" showErrorMessage="1" sqref="N5:P7" xr:uid="{555BD34C-2788-4494-8D8E-CC341A1A1599}">
      <formula1>$D$172:$D$177</formula1>
    </dataValidation>
    <dataValidation type="list" allowBlank="1" showInputMessage="1" showErrorMessage="1" sqref="T22 Q22" xr:uid="{DFEFAA10-BED4-482D-9671-A8326F16729A}">
      <formula1>"Less Than, Equal To, Greater Than, No Limit"</formula1>
    </dataValidation>
    <dataValidation type="list" allowBlank="1" showInputMessage="1" showErrorMessage="1" sqref="V5:X7 V11:X13" xr:uid="{82D22FF2-C707-4182-A5F4-3AF20F98030D}">
      <formula1>$F$171:$F$175</formula1>
    </dataValidation>
    <dataValidation type="list" allowBlank="1" showInputMessage="1" showErrorMessage="1" sqref="W22" xr:uid="{92F5D35A-214A-4C8E-9893-0E52832BA3C1}">
      <formula1>"Select Region, North America, China, Brazil, LAM, India, Europe, SE Asia, SS-Africa, ROW"</formula1>
    </dataValidation>
  </dataValidations>
  <pageMargins left="0.35433070866141736" right="0.23622047244094491" top="0.74803149606299213" bottom="0.74803149606299213" header="0.31496062992125984" footer="0.31496062992125984"/>
  <pageSetup paperSize="9" orientation="landscape" r:id="rId1"/>
  <ignoredErrors>
    <ignoredError sqref="C140:Q140" formula="1"/>
  </ignoredErrors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Fill="0" autoLine="0" r:id="rId5">
            <anchor moveWithCells="1">
              <from>
                <xdr:col>12</xdr:col>
                <xdr:colOff>7620</xdr:colOff>
                <xdr:row>20</xdr:row>
                <xdr:rowOff>15240</xdr:rowOff>
              </from>
              <to>
                <xdr:col>14</xdr:col>
                <xdr:colOff>1051560</xdr:colOff>
                <xdr:row>22</xdr:row>
                <xdr:rowOff>175260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24</xdr:col>
                <xdr:colOff>15240</xdr:colOff>
                <xdr:row>20</xdr:row>
                <xdr:rowOff>15240</xdr:rowOff>
              </from>
              <to>
                <xdr:col>24</xdr:col>
                <xdr:colOff>777240</xdr:colOff>
                <xdr:row>22</xdr:row>
                <xdr:rowOff>175260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9" r:id="rId8" name="CommandButton3">
          <controlPr defaultSize="0" autoLine="0" r:id="rId9">
            <anchor moveWithCells="1">
              <from>
                <xdr:col>25</xdr:col>
                <xdr:colOff>22860</xdr:colOff>
                <xdr:row>20</xdr:row>
                <xdr:rowOff>15240</xdr:rowOff>
              </from>
              <to>
                <xdr:col>25</xdr:col>
                <xdr:colOff>998220</xdr:colOff>
                <xdr:row>22</xdr:row>
                <xdr:rowOff>175260</xdr:rowOff>
              </to>
            </anchor>
          </controlPr>
        </control>
      </mc:Choice>
      <mc:Fallback>
        <control shapeId="14339" r:id="rId8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1527B-689E-4B2B-8B7A-44569ECDF2AF}">
  <sheetPr codeName="Sheet6"/>
  <dimension ref="A1:M44"/>
  <sheetViews>
    <sheetView showGridLines="0" zoomScale="130" zoomScaleNormal="130" workbookViewId="0">
      <selection activeCell="E41" sqref="E41"/>
    </sheetView>
  </sheetViews>
  <sheetFormatPr defaultRowHeight="10.199999999999999" customHeight="1"/>
  <cols>
    <col min="1" max="1" width="21.5546875" customWidth="1"/>
    <col min="2" max="11" width="8.88671875" customWidth="1"/>
    <col min="12" max="12" width="12.33203125" customWidth="1"/>
    <col min="13" max="13" width="12.44140625" customWidth="1"/>
  </cols>
  <sheetData>
    <row r="1" spans="1:13" ht="10.199999999999999" customHeight="1">
      <c r="A1" s="621"/>
      <c r="B1" s="621"/>
      <c r="C1" s="621"/>
      <c r="D1" s="621"/>
      <c r="E1" s="621"/>
      <c r="F1" s="621"/>
      <c r="G1" s="621"/>
      <c r="H1" s="621"/>
      <c r="I1" s="621"/>
      <c r="J1" s="621"/>
      <c r="K1" s="621"/>
      <c r="L1" s="621"/>
      <c r="M1" s="621"/>
    </row>
    <row r="2" spans="1:13" ht="12.6" customHeight="1"/>
    <row r="4" spans="1:13" s="780" customFormat="1" ht="10.199999999999999" customHeight="1"/>
    <row r="5" spans="1:13" s="780" customFormat="1" ht="10.199999999999999" customHeight="1"/>
    <row r="6" spans="1:13" s="780" customFormat="1" ht="10.199999999999999" customHeight="1"/>
    <row r="7" spans="1:13" s="780" customFormat="1" ht="10.199999999999999" customHeight="1"/>
    <row r="8" spans="1:13" s="780" customFormat="1" ht="10.199999999999999" customHeight="1"/>
    <row r="9" spans="1:13" s="780" customFormat="1" ht="10.199999999999999" customHeight="1"/>
    <row r="10" spans="1:13" s="780" customFormat="1" ht="10.199999999999999" customHeight="1"/>
    <row r="11" spans="1:13" s="780" customFormat="1" ht="10.199999999999999" customHeight="1"/>
    <row r="12" spans="1:13" s="780" customFormat="1" ht="10.199999999999999" customHeight="1"/>
    <row r="13" spans="1:13" s="780" customFormat="1" ht="10.199999999999999" customHeight="1"/>
    <row r="14" spans="1:13" s="780" customFormat="1" ht="10.199999999999999" customHeight="1"/>
    <row r="15" spans="1:13" s="780" customFormat="1" ht="10.199999999999999" customHeight="1"/>
    <row r="16" spans="1:13" s="780" customFormat="1" ht="10.199999999999999" customHeight="1"/>
    <row r="17" s="780" customFormat="1" ht="15.6" customHeight="1"/>
    <row r="18" s="780" customFormat="1" ht="10.199999999999999" customHeight="1"/>
    <row r="19" s="780" customFormat="1" ht="10.199999999999999" customHeight="1"/>
    <row r="20" s="780" customFormat="1" ht="10.199999999999999" customHeight="1"/>
    <row r="21" s="780" customFormat="1" ht="10.199999999999999" customHeight="1"/>
    <row r="22" s="780" customFormat="1" ht="10.199999999999999" customHeight="1"/>
    <row r="23" s="780" customFormat="1" ht="10.199999999999999" customHeight="1"/>
    <row r="24" s="780" customFormat="1" ht="10.199999999999999" customHeight="1"/>
    <row r="25" s="780" customFormat="1" ht="10.199999999999999" customHeight="1"/>
    <row r="26" s="780" customFormat="1" ht="10.199999999999999" customHeight="1"/>
    <row r="27" s="780" customFormat="1" ht="10.199999999999999" customHeight="1"/>
    <row r="28" s="780" customFormat="1" ht="10.199999999999999" customHeight="1"/>
    <row r="29" s="780" customFormat="1" ht="10.199999999999999" customHeight="1"/>
    <row r="30" s="780" customFormat="1" ht="10.199999999999999" customHeight="1"/>
    <row r="31" s="780" customFormat="1" ht="15.6" customHeight="1"/>
    <row r="32" s="780" customFormat="1" ht="10.199999999999999" customHeight="1"/>
    <row r="33" s="780" customFormat="1" ht="10.199999999999999" customHeight="1"/>
    <row r="34" s="780" customFormat="1" ht="10.199999999999999" customHeight="1"/>
    <row r="35" s="780" customFormat="1" ht="10.199999999999999" customHeight="1"/>
    <row r="36" s="780" customFormat="1" ht="10.199999999999999" customHeight="1"/>
    <row r="37" s="780" customFormat="1" ht="10.199999999999999" customHeight="1"/>
    <row r="38" s="780" customFormat="1" ht="10.199999999999999" customHeight="1"/>
    <row r="39" s="780" customFormat="1" ht="10.199999999999999" customHeight="1"/>
    <row r="40" s="780" customFormat="1" ht="10.199999999999999" customHeight="1"/>
    <row r="41" s="780" customFormat="1" ht="10.199999999999999" customHeight="1"/>
    <row r="42" s="780" customFormat="1" ht="10.199999999999999" customHeight="1"/>
    <row r="43" s="780" customFormat="1" ht="10.199999999999999" customHeight="1"/>
    <row r="44" s="780" customFormat="1" ht="10.199999999999999" customHeight="1"/>
  </sheetData>
  <sheetProtection selectLockedCells="1" selectUnlockedCells="1"/>
  <pageMargins left="0.51181102362204722" right="0.23622047244094491" top="0.74803149606299213" bottom="0.74803149606299213" header="0.31496062992125984" footer="0.31496062992125984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98416-E73B-4BF3-9733-0ED5C1364585}">
  <sheetPr codeName="SolvePOLY4NPKBlend1"/>
  <dimension ref="B1:AH177"/>
  <sheetViews>
    <sheetView showGridLines="0" zoomScale="90" zoomScaleNormal="90" workbookViewId="0">
      <selection activeCell="M28" sqref="M28"/>
    </sheetView>
  </sheetViews>
  <sheetFormatPr defaultColWidth="12.6640625" defaultRowHeight="14.4"/>
  <cols>
    <col min="1" max="1" width="1.6640625" style="76" customWidth="1"/>
    <col min="2" max="3" width="11" style="76" customWidth="1"/>
    <col min="4" max="5" width="11.109375" style="76" customWidth="1"/>
    <col min="6" max="7" width="11.33203125" style="76" customWidth="1"/>
    <col min="8" max="8" width="11.109375" style="76" customWidth="1"/>
    <col min="9" max="10" width="11" style="76" customWidth="1"/>
    <col min="11" max="13" width="11.44140625" style="76" customWidth="1"/>
    <col min="14" max="14" width="11.33203125" style="76" customWidth="1"/>
    <col min="15" max="15" width="2.109375" style="76" customWidth="1"/>
    <col min="16" max="16" width="16.6640625" style="76" customWidth="1"/>
    <col min="17" max="17" width="9.109375" style="76" customWidth="1"/>
    <col min="18" max="18" width="2" style="76" customWidth="1"/>
    <col min="19" max="19" width="9.5546875" style="76" customWidth="1"/>
    <col min="20" max="20" width="8.44140625" style="76" customWidth="1"/>
    <col min="21" max="21" width="8.33203125" style="76" customWidth="1"/>
    <col min="22" max="22" width="7.88671875" style="76" customWidth="1"/>
    <col min="23" max="30" width="7" style="76" customWidth="1"/>
    <col min="31" max="31" width="6" style="2" customWidth="1"/>
    <col min="32" max="32" width="7.88671875" style="2" customWidth="1"/>
    <col min="33" max="33" width="7.6640625" style="76" customWidth="1"/>
    <col min="34" max="34" width="6.6640625" style="135" customWidth="1"/>
    <col min="35" max="41" width="6" style="76" customWidth="1"/>
    <col min="42" max="16384" width="12.6640625" style="76"/>
  </cols>
  <sheetData>
    <row r="1" spans="2:34" ht="22.5" customHeight="1" thickBot="1">
      <c r="B1" s="166" t="s">
        <v>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321"/>
    </row>
    <row r="2" spans="2:34" ht="18.75" customHeight="1" thickBot="1">
      <c r="B2" s="259" t="s">
        <v>103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316"/>
    </row>
    <row r="3" spans="2:34" ht="18.600000000000001" thickBot="1">
      <c r="B3" s="340" t="s">
        <v>99</v>
      </c>
      <c r="C3" s="341"/>
      <c r="D3" s="342"/>
      <c r="E3" s="346"/>
      <c r="F3" s="348"/>
      <c r="G3" s="343"/>
      <c r="H3" s="343"/>
      <c r="I3" s="343"/>
      <c r="J3" s="343"/>
      <c r="K3" s="343"/>
      <c r="L3" s="343"/>
      <c r="M3" s="343"/>
      <c r="N3" s="344"/>
      <c r="O3" s="6"/>
      <c r="P3" s="5" t="s">
        <v>72</v>
      </c>
      <c r="Q3" s="380" t="s">
        <v>73</v>
      </c>
      <c r="R3" s="50"/>
      <c r="S3" s="7" t="s">
        <v>93</v>
      </c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312"/>
    </row>
    <row r="4" spans="2:34" ht="17.25" customHeight="1" thickBot="1">
      <c r="B4" s="160" t="s">
        <v>0</v>
      </c>
      <c r="C4" s="161" t="s">
        <v>1</v>
      </c>
      <c r="D4" s="161" t="s">
        <v>2</v>
      </c>
      <c r="E4" s="161" t="s">
        <v>3</v>
      </c>
      <c r="F4" s="161" t="s">
        <v>4</v>
      </c>
      <c r="G4" s="161" t="s">
        <v>5</v>
      </c>
      <c r="H4" s="161" t="s">
        <v>6</v>
      </c>
      <c r="I4" s="161" t="s">
        <v>7</v>
      </c>
      <c r="J4" s="161" t="s">
        <v>8</v>
      </c>
      <c r="K4" s="161"/>
      <c r="L4" s="162"/>
      <c r="M4" s="162"/>
      <c r="N4" s="163"/>
      <c r="O4" s="10"/>
      <c r="P4" s="355" t="s">
        <v>9</v>
      </c>
      <c r="Q4" s="401">
        <f>200*0.001</f>
        <v>0.2</v>
      </c>
      <c r="R4" s="2"/>
      <c r="S4" s="332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313"/>
    </row>
    <row r="5" spans="2:34" ht="16.2" thickBot="1">
      <c r="B5" s="395" t="s">
        <v>79</v>
      </c>
      <c r="C5" s="396" t="s">
        <v>78</v>
      </c>
      <c r="D5" s="396" t="s">
        <v>43</v>
      </c>
      <c r="E5" s="396" t="s">
        <v>31</v>
      </c>
      <c r="F5" s="396" t="s">
        <v>41</v>
      </c>
      <c r="G5" s="396"/>
      <c r="H5" s="396"/>
      <c r="I5" s="396"/>
      <c r="J5" s="396"/>
      <c r="K5" s="396"/>
      <c r="L5" s="396"/>
      <c r="M5" s="396"/>
      <c r="N5" s="397" t="s">
        <v>94</v>
      </c>
      <c r="O5" s="2"/>
      <c r="P5" s="355" t="s">
        <v>17</v>
      </c>
      <c r="Q5" s="383">
        <v>390</v>
      </c>
      <c r="R5" s="2"/>
      <c r="S5" s="333" t="s">
        <v>99</v>
      </c>
      <c r="T5" s="334"/>
      <c r="U5" s="334"/>
      <c r="V5" s="347"/>
      <c r="W5" s="366" t="str">
        <f>IF(F3="","",F3)</f>
        <v/>
      </c>
      <c r="X5" s="334"/>
      <c r="Y5" s="334"/>
      <c r="Z5" s="334"/>
      <c r="AA5" s="343"/>
      <c r="AB5" s="343"/>
      <c r="AC5" s="343"/>
      <c r="AD5" s="334"/>
      <c r="AE5" s="334"/>
      <c r="AF5" s="334"/>
      <c r="AG5" s="334"/>
      <c r="AH5" s="335"/>
    </row>
    <row r="6" spans="2:34" ht="16.2" thickBot="1">
      <c r="B6" s="398">
        <f>IFERROR(VLOOKUP(B5,$P$3:$Q$28,2,FALSE)*0.001,"")</f>
        <v>0.22</v>
      </c>
      <c r="C6" s="399">
        <f t="shared" ref="C6:M6" si="0">IFERROR(VLOOKUP(C5,$P$3:$Q$28,2,FALSE)*0.001,"")</f>
        <v>0.39</v>
      </c>
      <c r="D6" s="399">
        <f t="shared" si="0"/>
        <v>0.26</v>
      </c>
      <c r="E6" s="399">
        <f t="shared" si="0"/>
        <v>0.25</v>
      </c>
      <c r="F6" s="399">
        <f t="shared" si="0"/>
        <v>0</v>
      </c>
      <c r="G6" s="399" t="str">
        <f t="shared" si="0"/>
        <v/>
      </c>
      <c r="H6" s="399" t="str">
        <f t="shared" si="0"/>
        <v/>
      </c>
      <c r="I6" s="399" t="str">
        <f t="shared" si="0"/>
        <v/>
      </c>
      <c r="J6" s="399" t="str">
        <f t="shared" si="0"/>
        <v/>
      </c>
      <c r="K6" s="399" t="str">
        <f t="shared" si="0"/>
        <v/>
      </c>
      <c r="L6" s="399" t="str">
        <f t="shared" si="0"/>
        <v/>
      </c>
      <c r="M6" s="399" t="str">
        <f t="shared" si="0"/>
        <v/>
      </c>
      <c r="N6" s="400"/>
      <c r="O6" s="10"/>
      <c r="P6" s="355" t="s">
        <v>18</v>
      </c>
      <c r="Q6" s="383"/>
      <c r="R6" s="2"/>
      <c r="S6" s="15"/>
      <c r="T6" s="16"/>
      <c r="U6" s="17" t="s">
        <v>86</v>
      </c>
      <c r="V6" s="18"/>
      <c r="W6" s="19" t="s">
        <v>15</v>
      </c>
      <c r="X6" s="19" t="s">
        <v>89</v>
      </c>
      <c r="Y6" s="19" t="s">
        <v>90</v>
      </c>
      <c r="Z6" s="19" t="s">
        <v>16</v>
      </c>
      <c r="AA6" s="19" t="s">
        <v>11</v>
      </c>
      <c r="AB6" s="19" t="s">
        <v>12</v>
      </c>
      <c r="AC6" s="19" t="s">
        <v>14</v>
      </c>
      <c r="AD6" s="19" t="s">
        <v>38</v>
      </c>
      <c r="AE6" s="245" t="s">
        <v>13</v>
      </c>
      <c r="AF6" s="272" t="s">
        <v>101</v>
      </c>
      <c r="AG6" s="320" t="s">
        <v>102</v>
      </c>
      <c r="AH6" s="322" t="s">
        <v>108</v>
      </c>
    </row>
    <row r="7" spans="2:34" ht="18.600000000000001" thickBot="1">
      <c r="B7" s="390">
        <f>C55</f>
        <v>198.48771266540643</v>
      </c>
      <c r="C7" s="391">
        <f t="shared" ref="C7:J7" si="1">D55</f>
        <v>326.08695652173913</v>
      </c>
      <c r="D7" s="391">
        <f t="shared" si="1"/>
        <v>250.00000000000003</v>
      </c>
      <c r="E7" s="391">
        <f t="shared" si="1"/>
        <v>0</v>
      </c>
      <c r="F7" s="391">
        <f t="shared" si="1"/>
        <v>225.42533081285441</v>
      </c>
      <c r="G7" s="391">
        <f t="shared" si="1"/>
        <v>0</v>
      </c>
      <c r="H7" s="391">
        <f t="shared" si="1"/>
        <v>0</v>
      </c>
      <c r="I7" s="391">
        <f t="shared" si="1"/>
        <v>0</v>
      </c>
      <c r="J7" s="391">
        <f t="shared" si="1"/>
        <v>0</v>
      </c>
      <c r="K7" s="382"/>
      <c r="L7" s="382"/>
      <c r="M7" s="382"/>
      <c r="N7" s="392">
        <f>SUM(B7:J7)</f>
        <v>1000</v>
      </c>
      <c r="O7" s="10"/>
      <c r="P7" s="355" t="s">
        <v>19</v>
      </c>
      <c r="Q7" s="383"/>
      <c r="R7" s="2"/>
      <c r="S7" s="250"/>
      <c r="T7" s="251"/>
      <c r="U7" s="252"/>
      <c r="V7" s="253"/>
      <c r="W7" s="254"/>
      <c r="X7" s="254"/>
      <c r="Y7" s="254"/>
      <c r="Z7" s="255"/>
      <c r="AA7" s="255"/>
      <c r="AB7" s="255"/>
      <c r="AC7" s="255"/>
      <c r="AD7" s="255"/>
      <c r="AE7" s="256"/>
      <c r="AF7" s="256"/>
      <c r="AG7" s="294"/>
      <c r="AH7" s="328"/>
    </row>
    <row r="8" spans="2:34" ht="15.6">
      <c r="B8" s="10"/>
      <c r="C8" s="2"/>
      <c r="D8" s="2"/>
      <c r="E8" s="2"/>
      <c r="F8" s="2"/>
      <c r="G8" s="2"/>
      <c r="H8" s="2"/>
      <c r="I8" s="2"/>
      <c r="J8" s="14"/>
      <c r="K8" s="2"/>
      <c r="L8" s="2"/>
      <c r="M8" s="2"/>
      <c r="N8" s="3"/>
      <c r="O8" s="10"/>
      <c r="P8" s="355" t="s">
        <v>20</v>
      </c>
      <c r="Q8" s="383">
        <v>220</v>
      </c>
      <c r="R8" s="2"/>
      <c r="S8" s="10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G8" s="2"/>
      <c r="AH8" s="313"/>
    </row>
    <row r="9" spans="2:34" ht="18" customHeight="1" thickBot="1">
      <c r="B9" s="20" t="s">
        <v>15</v>
      </c>
      <c r="C9" s="21" t="s">
        <v>67</v>
      </c>
      <c r="D9" s="21" t="s">
        <v>68</v>
      </c>
      <c r="E9" s="21" t="s">
        <v>16</v>
      </c>
      <c r="F9" s="21" t="s">
        <v>11</v>
      </c>
      <c r="G9" s="21" t="s">
        <v>12</v>
      </c>
      <c r="H9" s="21" t="s">
        <v>14</v>
      </c>
      <c r="I9" s="21" t="s">
        <v>38</v>
      </c>
      <c r="J9" s="192" t="s">
        <v>13</v>
      </c>
      <c r="K9" s="22"/>
      <c r="L9" s="23"/>
      <c r="M9" s="270"/>
      <c r="N9" s="24"/>
      <c r="O9" s="10"/>
      <c r="P9" s="355" t="s">
        <v>21</v>
      </c>
      <c r="Q9" s="383"/>
      <c r="R9" s="2"/>
      <c r="S9" s="10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G9" s="2"/>
      <c r="AH9" s="313"/>
    </row>
    <row r="10" spans="2:34" ht="18" customHeight="1" thickBot="1">
      <c r="B10" s="155">
        <v>150</v>
      </c>
      <c r="C10" s="156">
        <v>150</v>
      </c>
      <c r="D10" s="156">
        <v>150</v>
      </c>
      <c r="E10" s="156"/>
      <c r="F10" s="156"/>
      <c r="G10" s="156"/>
      <c r="H10" s="156"/>
      <c r="I10" s="156"/>
      <c r="J10" s="156"/>
      <c r="K10" s="157"/>
      <c r="L10" s="158"/>
      <c r="M10" s="271"/>
      <c r="N10" s="159"/>
      <c r="O10" s="10"/>
      <c r="P10" s="355" t="s">
        <v>22</v>
      </c>
      <c r="Q10" s="383"/>
      <c r="R10" s="2"/>
      <c r="S10" s="329" t="s">
        <v>100</v>
      </c>
      <c r="T10" s="330"/>
      <c r="U10" s="330"/>
      <c r="V10" s="331"/>
      <c r="W10" s="365" t="str">
        <f>IF(F21="","",F21)</f>
        <v/>
      </c>
      <c r="X10" s="330"/>
      <c r="Y10" s="330"/>
      <c r="Z10" s="330"/>
      <c r="AA10" s="330"/>
      <c r="AB10" s="330"/>
      <c r="AC10" s="330"/>
      <c r="AD10" s="330"/>
      <c r="AE10" s="330"/>
      <c r="AF10" s="330"/>
      <c r="AG10" s="330"/>
      <c r="AH10" s="331"/>
    </row>
    <row r="11" spans="2:34" ht="16.5" customHeight="1" thickBot="1">
      <c r="B11" s="10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3"/>
      <c r="O11" s="10"/>
      <c r="P11" s="355" t="s">
        <v>23</v>
      </c>
      <c r="Q11" s="383"/>
      <c r="R11" s="2"/>
      <c r="S11" s="12" t="s">
        <v>88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315"/>
    </row>
    <row r="12" spans="2:34" ht="18.600000000000001" thickBot="1">
      <c r="B12" s="169" t="s">
        <v>46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8"/>
      <c r="O12" s="10"/>
      <c r="P12" s="355" t="s">
        <v>24</v>
      </c>
      <c r="Q12" s="383"/>
      <c r="R12" s="2"/>
      <c r="S12" s="258" t="s">
        <v>84</v>
      </c>
      <c r="T12" s="17" t="s">
        <v>85</v>
      </c>
      <c r="U12" s="17" t="s">
        <v>86</v>
      </c>
      <c r="V12" s="17" t="s">
        <v>47</v>
      </c>
      <c r="W12" s="19" t="s">
        <v>15</v>
      </c>
      <c r="X12" s="19" t="s">
        <v>89</v>
      </c>
      <c r="Y12" s="19" t="s">
        <v>90</v>
      </c>
      <c r="Z12" s="19" t="s">
        <v>16</v>
      </c>
      <c r="AA12" s="19" t="s">
        <v>11</v>
      </c>
      <c r="AB12" s="19" t="s">
        <v>12</v>
      </c>
      <c r="AC12" s="19" t="s">
        <v>14</v>
      </c>
      <c r="AD12" s="19" t="s">
        <v>38</v>
      </c>
      <c r="AE12" s="245" t="s">
        <v>13</v>
      </c>
      <c r="AF12" s="272" t="s">
        <v>101</v>
      </c>
      <c r="AG12" s="320" t="s">
        <v>102</v>
      </c>
      <c r="AH12" s="322" t="s">
        <v>108</v>
      </c>
    </row>
    <row r="13" spans="2:34" ht="18.75" customHeight="1" thickBot="1">
      <c r="B13" s="29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1"/>
      <c r="O13" s="10"/>
      <c r="P13" s="355" t="s">
        <v>25</v>
      </c>
      <c r="Q13" s="383">
        <v>260</v>
      </c>
      <c r="R13" s="2"/>
      <c r="S13" s="32">
        <f>B39</f>
        <v>100</v>
      </c>
      <c r="T13" s="33" t="str">
        <f>IF(B45="","",B45)</f>
        <v/>
      </c>
      <c r="U13" s="34" t="str">
        <f>B41</f>
        <v/>
      </c>
      <c r="V13" s="35" t="str">
        <f>IF(U13="","",IF(U13&lt;&gt;0,U13-$U$7))</f>
        <v/>
      </c>
      <c r="W13" s="45"/>
      <c r="X13" s="45"/>
      <c r="Y13" s="45"/>
      <c r="Z13" s="36"/>
      <c r="AA13" s="36"/>
      <c r="AB13" s="36"/>
      <c r="AC13" s="36"/>
      <c r="AD13" s="36"/>
      <c r="AE13" s="246"/>
      <c r="AF13" s="246"/>
      <c r="AG13" s="295"/>
      <c r="AH13" s="325"/>
    </row>
    <row r="14" spans="2:34" ht="18.600000000000001" thickBot="1">
      <c r="B14" s="37" t="s">
        <v>10</v>
      </c>
      <c r="C14" s="38"/>
      <c r="D14" s="39">
        <f>N56</f>
        <v>235.84120982986769</v>
      </c>
      <c r="E14" s="38"/>
      <c r="F14" s="38"/>
      <c r="G14" s="38"/>
      <c r="H14" s="38"/>
      <c r="I14" s="40" t="s">
        <v>98</v>
      </c>
      <c r="J14" s="164"/>
      <c r="K14" s="356" t="s">
        <v>113</v>
      </c>
      <c r="L14" s="165">
        <v>0</v>
      </c>
      <c r="M14" s="41"/>
      <c r="N14" s="42"/>
      <c r="O14" s="10"/>
      <c r="P14" s="355" t="s">
        <v>26</v>
      </c>
      <c r="Q14" s="383"/>
      <c r="R14" s="2"/>
      <c r="S14" s="43">
        <f>C39</f>
        <v>110</v>
      </c>
      <c r="T14" s="44" t="str">
        <f>IF(C45="","",C45)</f>
        <v/>
      </c>
      <c r="U14" s="45" t="str">
        <f>C41</f>
        <v/>
      </c>
      <c r="V14" s="46" t="str">
        <f t="shared" ref="V14:V25" si="2">IF(U14="","",IF(U14&lt;&gt;0,U14-$U$7))</f>
        <v/>
      </c>
      <c r="W14" s="45"/>
      <c r="X14" s="45"/>
      <c r="Y14" s="45"/>
      <c r="Z14" s="47"/>
      <c r="AA14" s="47"/>
      <c r="AB14" s="47"/>
      <c r="AC14" s="47"/>
      <c r="AD14" s="47"/>
      <c r="AE14" s="247"/>
      <c r="AF14" s="247"/>
      <c r="AG14" s="296"/>
      <c r="AH14" s="326"/>
    </row>
    <row r="15" spans="2:34" ht="18" customHeight="1" thickBot="1">
      <c r="B15" s="29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1"/>
      <c r="O15" s="10"/>
      <c r="P15" s="355" t="s">
        <v>27</v>
      </c>
      <c r="Q15" s="383"/>
      <c r="R15" s="2"/>
      <c r="S15" s="43">
        <f>D39</f>
        <v>120</v>
      </c>
      <c r="T15" s="44" t="str">
        <f>IF(D45="","",D45)</f>
        <v/>
      </c>
      <c r="U15" s="45" t="str">
        <f>D41</f>
        <v/>
      </c>
      <c r="V15" s="46" t="str">
        <f t="shared" si="2"/>
        <v/>
      </c>
      <c r="W15" s="45"/>
      <c r="X15" s="45"/>
      <c r="Y15" s="45"/>
      <c r="Z15" s="47"/>
      <c r="AA15" s="47"/>
      <c r="AB15" s="47"/>
      <c r="AC15" s="47"/>
      <c r="AD15" s="47"/>
      <c r="AE15" s="247"/>
      <c r="AF15" s="247"/>
      <c r="AG15" s="296"/>
      <c r="AH15" s="326"/>
    </row>
    <row r="16" spans="2:34" ht="16.2" thickBot="1">
      <c r="B16" s="198" t="s">
        <v>15</v>
      </c>
      <c r="C16" s="199" t="s">
        <v>63</v>
      </c>
      <c r="D16" s="199" t="s">
        <v>64</v>
      </c>
      <c r="E16" s="199" t="s">
        <v>16</v>
      </c>
      <c r="F16" s="199" t="s">
        <v>11</v>
      </c>
      <c r="G16" s="199" t="s">
        <v>12</v>
      </c>
      <c r="H16" s="199" t="s">
        <v>14</v>
      </c>
      <c r="I16" s="199" t="s">
        <v>38</v>
      </c>
      <c r="J16" s="199" t="s">
        <v>13</v>
      </c>
      <c r="K16" s="200"/>
      <c r="L16" s="201"/>
      <c r="M16" s="273" t="s">
        <v>101</v>
      </c>
      <c r="N16" s="322" t="s">
        <v>107</v>
      </c>
      <c r="O16" s="10"/>
      <c r="P16" s="355" t="s">
        <v>28</v>
      </c>
      <c r="Q16" s="383"/>
      <c r="R16" s="2"/>
      <c r="S16" s="43">
        <f>E39</f>
        <v>130</v>
      </c>
      <c r="T16" s="44" t="str">
        <f>IF(E45="","",E45)</f>
        <v/>
      </c>
      <c r="U16" s="45" t="str">
        <f>E41</f>
        <v/>
      </c>
      <c r="V16" s="46" t="str">
        <f t="shared" si="2"/>
        <v/>
      </c>
      <c r="W16" s="45"/>
      <c r="X16" s="45"/>
      <c r="Y16" s="45"/>
      <c r="Z16" s="47"/>
      <c r="AA16" s="47"/>
      <c r="AB16" s="47"/>
      <c r="AC16" s="47"/>
      <c r="AD16" s="47"/>
      <c r="AE16" s="247"/>
      <c r="AF16" s="247"/>
      <c r="AG16" s="296"/>
      <c r="AH16" s="326"/>
    </row>
    <row r="17" spans="2:34" ht="18.600000000000001" thickBot="1">
      <c r="B17" s="167">
        <f>L58</f>
        <v>91.304347826086968</v>
      </c>
      <c r="C17" s="168">
        <f>L59</f>
        <v>35.727788279773158</v>
      </c>
      <c r="D17" s="168">
        <f>L60</f>
        <v>49.621928166351609</v>
      </c>
      <c r="E17" s="48">
        <f>L61</f>
        <v>58.695652173913039</v>
      </c>
      <c r="F17" s="48">
        <f>L62</f>
        <v>0</v>
      </c>
      <c r="G17" s="48">
        <f>L63</f>
        <v>0</v>
      </c>
      <c r="H17" s="48">
        <f>L65</f>
        <v>5.9546313799621924</v>
      </c>
      <c r="I17" s="48">
        <f>L66</f>
        <v>0</v>
      </c>
      <c r="J17" s="48">
        <f>L64</f>
        <v>42.833648393194707</v>
      </c>
      <c r="K17" s="49"/>
      <c r="L17" s="49"/>
      <c r="M17" s="292">
        <f>L67</f>
        <v>56664.224952741031</v>
      </c>
      <c r="N17" s="324">
        <f>L68</f>
        <v>705647.44801512291</v>
      </c>
      <c r="O17" s="10"/>
      <c r="P17" s="355" t="s">
        <v>29</v>
      </c>
      <c r="Q17" s="383"/>
      <c r="R17" s="2"/>
      <c r="S17" s="43">
        <f>F39</f>
        <v>140</v>
      </c>
      <c r="T17" s="44" t="str">
        <f>IF(F45="","",F45)</f>
        <v/>
      </c>
      <c r="U17" s="45" t="str">
        <f>F41</f>
        <v/>
      </c>
      <c r="V17" s="46" t="str">
        <f t="shared" si="2"/>
        <v/>
      </c>
      <c r="W17" s="45"/>
      <c r="X17" s="45"/>
      <c r="Y17" s="45"/>
      <c r="Z17" s="47"/>
      <c r="AA17" s="47"/>
      <c r="AB17" s="47"/>
      <c r="AC17" s="47"/>
      <c r="AD17" s="47"/>
      <c r="AE17" s="247"/>
      <c r="AF17" s="247"/>
      <c r="AG17" s="296"/>
      <c r="AH17" s="326"/>
    </row>
    <row r="18" spans="2:34" ht="20.25" customHeight="1">
      <c r="B18" s="222"/>
      <c r="C18" s="223"/>
      <c r="D18" s="223"/>
      <c r="E18" s="223"/>
      <c r="F18" s="223"/>
      <c r="G18" s="223"/>
      <c r="H18" s="223"/>
      <c r="I18" s="223"/>
      <c r="J18" s="223"/>
      <c r="K18" s="223"/>
      <c r="L18" s="223"/>
      <c r="M18" s="223"/>
      <c r="N18" s="224"/>
      <c r="O18" s="10"/>
      <c r="P18" s="355" t="s">
        <v>30</v>
      </c>
      <c r="Q18" s="383"/>
      <c r="R18" s="2"/>
      <c r="S18" s="43">
        <f>G39</f>
        <v>150</v>
      </c>
      <c r="T18" s="44" t="str">
        <f>IF(G45="","",G45)</f>
        <v/>
      </c>
      <c r="U18" s="45" t="str">
        <f>G41</f>
        <v/>
      </c>
      <c r="V18" s="46" t="str">
        <f t="shared" si="2"/>
        <v/>
      </c>
      <c r="W18" s="45"/>
      <c r="X18" s="45"/>
      <c r="Y18" s="45"/>
      <c r="Z18" s="47"/>
      <c r="AA18" s="47"/>
      <c r="AB18" s="47"/>
      <c r="AC18" s="47"/>
      <c r="AD18" s="47"/>
      <c r="AE18" s="247"/>
      <c r="AF18" s="247"/>
      <c r="AG18" s="296"/>
      <c r="AH18" s="326"/>
    </row>
    <row r="19" spans="2:34" ht="18.75" customHeight="1">
      <c r="B19" s="225"/>
      <c r="C19" s="226"/>
      <c r="D19" s="226"/>
      <c r="E19" s="226"/>
      <c r="F19" s="226"/>
      <c r="G19" s="226"/>
      <c r="H19" s="226"/>
      <c r="I19" s="226"/>
      <c r="J19" s="226"/>
      <c r="K19" s="226"/>
      <c r="L19" s="226"/>
      <c r="M19" s="226"/>
      <c r="N19" s="227"/>
      <c r="O19" s="10"/>
      <c r="P19" s="355" t="s">
        <v>31</v>
      </c>
      <c r="Q19" s="383">
        <v>250</v>
      </c>
      <c r="R19" s="2"/>
      <c r="S19" s="43">
        <f>H39</f>
        <v>160</v>
      </c>
      <c r="T19" s="44" t="str">
        <f>IF(H45="","",H45)</f>
        <v/>
      </c>
      <c r="U19" s="45" t="str">
        <f>H41</f>
        <v/>
      </c>
      <c r="V19" s="46" t="str">
        <f t="shared" si="2"/>
        <v/>
      </c>
      <c r="W19" s="45"/>
      <c r="X19" s="45"/>
      <c r="Y19" s="45"/>
      <c r="Z19" s="47"/>
      <c r="AA19" s="47"/>
      <c r="AB19" s="47"/>
      <c r="AC19" s="47"/>
      <c r="AD19" s="47"/>
      <c r="AE19" s="247"/>
      <c r="AF19" s="247"/>
      <c r="AG19" s="296"/>
      <c r="AH19" s="326"/>
    </row>
    <row r="20" spans="2:34" ht="21" customHeight="1" thickBot="1">
      <c r="B20" s="228"/>
      <c r="C20" s="229"/>
      <c r="D20" s="229"/>
      <c r="E20" s="229"/>
      <c r="F20" s="229"/>
      <c r="G20" s="229"/>
      <c r="H20" s="229"/>
      <c r="I20" s="229"/>
      <c r="J20" s="229"/>
      <c r="K20" s="229"/>
      <c r="L20" s="229"/>
      <c r="M20" s="226"/>
      <c r="N20" s="227"/>
      <c r="O20" s="10"/>
      <c r="P20" s="355" t="s">
        <v>32</v>
      </c>
      <c r="Q20" s="383"/>
      <c r="R20" s="2"/>
      <c r="S20" s="43">
        <f>I39</f>
        <v>170</v>
      </c>
      <c r="T20" s="44" t="str">
        <f>IF(I45="","",I45)</f>
        <v/>
      </c>
      <c r="U20" s="45" t="str">
        <f>I41</f>
        <v/>
      </c>
      <c r="V20" s="46" t="str">
        <f t="shared" si="2"/>
        <v/>
      </c>
      <c r="W20" s="45"/>
      <c r="X20" s="45"/>
      <c r="Y20" s="45"/>
      <c r="Z20" s="47"/>
      <c r="AA20" s="47"/>
      <c r="AB20" s="47"/>
      <c r="AC20" s="47"/>
      <c r="AD20" s="47"/>
      <c r="AE20" s="247"/>
      <c r="AF20" s="247"/>
      <c r="AG20" s="296"/>
      <c r="AH20" s="326"/>
    </row>
    <row r="21" spans="2:34" ht="18.600000000000001" thickBot="1">
      <c r="B21" s="336" t="s">
        <v>100</v>
      </c>
      <c r="C21" s="337"/>
      <c r="D21" s="337"/>
      <c r="E21" s="345"/>
      <c r="F21" s="376"/>
      <c r="G21" s="338"/>
      <c r="H21" s="338"/>
      <c r="I21" s="339"/>
      <c r="J21" s="339"/>
      <c r="K21" s="339"/>
      <c r="L21" s="337"/>
      <c r="M21" s="378"/>
      <c r="N21" s="375"/>
      <c r="O21" s="2"/>
      <c r="P21" s="355" t="s">
        <v>33</v>
      </c>
      <c r="Q21" s="383"/>
      <c r="R21" s="2"/>
      <c r="S21" s="43">
        <f>J39</f>
        <v>180</v>
      </c>
      <c r="T21" s="44" t="str">
        <f>IF(J45="","",J45)</f>
        <v/>
      </c>
      <c r="U21" s="45" t="str">
        <f>J41</f>
        <v/>
      </c>
      <c r="V21" s="46" t="str">
        <f t="shared" si="2"/>
        <v/>
      </c>
      <c r="W21" s="45"/>
      <c r="X21" s="45"/>
      <c r="Y21" s="45"/>
      <c r="Z21" s="47"/>
      <c r="AA21" s="47"/>
      <c r="AB21" s="47"/>
      <c r="AC21" s="47"/>
      <c r="AD21" s="47"/>
      <c r="AE21" s="247"/>
      <c r="AF21" s="247"/>
      <c r="AG21" s="296"/>
      <c r="AH21" s="326"/>
    </row>
    <row r="22" spans="2:34" ht="18" customHeight="1" thickBot="1">
      <c r="B22" s="371" t="s">
        <v>0</v>
      </c>
      <c r="C22" s="372" t="s">
        <v>1</v>
      </c>
      <c r="D22" s="372" t="s">
        <v>2</v>
      </c>
      <c r="E22" s="372" t="s">
        <v>3</v>
      </c>
      <c r="F22" s="372" t="s">
        <v>4</v>
      </c>
      <c r="G22" s="372" t="s">
        <v>5</v>
      </c>
      <c r="H22" s="372" t="s">
        <v>6</v>
      </c>
      <c r="I22" s="372" t="s">
        <v>7</v>
      </c>
      <c r="J22" s="372" t="s">
        <v>8</v>
      </c>
      <c r="K22" s="372"/>
      <c r="L22" s="373"/>
      <c r="M22" s="379"/>
      <c r="N22" s="377"/>
      <c r="O22" s="2"/>
      <c r="P22" s="355" t="s">
        <v>34</v>
      </c>
      <c r="Q22" s="383"/>
      <c r="R22" s="2"/>
      <c r="S22" s="43">
        <f>K39</f>
        <v>190</v>
      </c>
      <c r="T22" s="44" t="str">
        <f>IF(K45="","",K45)</f>
        <v/>
      </c>
      <c r="U22" s="45" t="str">
        <f>K41</f>
        <v/>
      </c>
      <c r="V22" s="46" t="str">
        <f t="shared" si="2"/>
        <v/>
      </c>
      <c r="W22" s="45"/>
      <c r="X22" s="45"/>
      <c r="Y22" s="45"/>
      <c r="Z22" s="47"/>
      <c r="AA22" s="47"/>
      <c r="AB22" s="47"/>
      <c r="AC22" s="47"/>
      <c r="AD22" s="47"/>
      <c r="AE22" s="247"/>
      <c r="AF22" s="247"/>
      <c r="AG22" s="296"/>
      <c r="AH22" s="326"/>
    </row>
    <row r="23" spans="2:34" ht="16.2" thickBot="1">
      <c r="B23" s="57" t="s">
        <v>9</v>
      </c>
      <c r="C23" s="58" t="s">
        <v>79</v>
      </c>
      <c r="D23" s="58" t="s">
        <v>78</v>
      </c>
      <c r="E23" s="58" t="s">
        <v>43</v>
      </c>
      <c r="F23" s="58" t="s">
        <v>41</v>
      </c>
      <c r="G23" s="58"/>
      <c r="H23" s="58"/>
      <c r="I23" s="58"/>
      <c r="J23" s="58"/>
      <c r="K23" s="58"/>
      <c r="L23" s="58"/>
      <c r="M23" s="58"/>
      <c r="N23" s="374" t="s">
        <v>94</v>
      </c>
      <c r="O23" s="2"/>
      <c r="P23" s="355" t="s">
        <v>35</v>
      </c>
      <c r="Q23" s="383"/>
      <c r="R23" s="2"/>
      <c r="S23" s="43">
        <f>L39</f>
        <v>200</v>
      </c>
      <c r="T23" s="44" t="str">
        <f>IF(L45="","",L45)</f>
        <v/>
      </c>
      <c r="U23" s="45" t="str">
        <f>L41</f>
        <v/>
      </c>
      <c r="V23" s="46" t="str">
        <f t="shared" si="2"/>
        <v/>
      </c>
      <c r="W23" s="45"/>
      <c r="X23" s="45"/>
      <c r="Y23" s="45"/>
      <c r="Z23" s="47"/>
      <c r="AA23" s="47"/>
      <c r="AB23" s="47"/>
      <c r="AC23" s="47"/>
      <c r="AD23" s="47"/>
      <c r="AE23" s="247"/>
      <c r="AF23" s="247"/>
      <c r="AG23" s="296"/>
      <c r="AH23" s="326"/>
    </row>
    <row r="24" spans="2:34" ht="18" customHeight="1" thickBot="1">
      <c r="B24" s="388">
        <v>0.2</v>
      </c>
      <c r="C24" s="399">
        <f>IFERROR(VLOOKUP(C23,$P$3:$Q$28,2,FALSE)*0.001,"")</f>
        <v>0.22</v>
      </c>
      <c r="D24" s="399">
        <f t="shared" ref="D24:M24" si="3">IFERROR(VLOOKUP(D23,$P$3:$Q$28,2,FALSE)*0.001,"")</f>
        <v>0.39</v>
      </c>
      <c r="E24" s="399">
        <f t="shared" si="3"/>
        <v>0.26</v>
      </c>
      <c r="F24" s="399">
        <f t="shared" si="3"/>
        <v>0</v>
      </c>
      <c r="G24" s="399" t="str">
        <f t="shared" si="3"/>
        <v/>
      </c>
      <c r="H24" s="399" t="str">
        <f t="shared" si="3"/>
        <v/>
      </c>
      <c r="I24" s="399" t="str">
        <f t="shared" si="3"/>
        <v/>
      </c>
      <c r="J24" s="399" t="str">
        <f t="shared" si="3"/>
        <v/>
      </c>
      <c r="K24" s="399" t="str">
        <f t="shared" si="3"/>
        <v/>
      </c>
      <c r="L24" s="399" t="str">
        <f t="shared" si="3"/>
        <v/>
      </c>
      <c r="M24" s="399" t="str">
        <f t="shared" si="3"/>
        <v/>
      </c>
      <c r="N24" s="387"/>
      <c r="O24" s="10"/>
      <c r="P24" s="355" t="s">
        <v>36</v>
      </c>
      <c r="Q24" s="383"/>
      <c r="R24" s="2"/>
      <c r="S24" s="43">
        <f>M39</f>
        <v>210</v>
      </c>
      <c r="T24" s="44" t="str">
        <f>IF(M45="","",M45)</f>
        <v/>
      </c>
      <c r="U24" s="45" t="str">
        <f>M41</f>
        <v/>
      </c>
      <c r="V24" s="46" t="str">
        <f t="shared" si="2"/>
        <v/>
      </c>
      <c r="W24" s="45"/>
      <c r="X24" s="45"/>
      <c r="Y24" s="45"/>
      <c r="Z24" s="47"/>
      <c r="AA24" s="47"/>
      <c r="AB24" s="47"/>
      <c r="AC24" s="47"/>
      <c r="AD24" s="47"/>
      <c r="AE24" s="247"/>
      <c r="AF24" s="247"/>
      <c r="AG24" s="296"/>
      <c r="AH24" s="326"/>
    </row>
    <row r="25" spans="2:34" ht="18.600000000000001" thickBot="1">
      <c r="B25" s="403">
        <f>C72</f>
        <v>260</v>
      </c>
      <c r="C25" s="404">
        <f t="shared" ref="C25:J25" si="4">D72</f>
        <v>198.48771266540643</v>
      </c>
      <c r="D25" s="404">
        <f t="shared" si="4"/>
        <v>326.08695652173913</v>
      </c>
      <c r="E25" s="404">
        <f t="shared" si="4"/>
        <v>189.06906931809712</v>
      </c>
      <c r="F25" s="404">
        <f t="shared" si="4"/>
        <v>26.356261494757319</v>
      </c>
      <c r="G25" s="404">
        <f t="shared" si="4"/>
        <v>0</v>
      </c>
      <c r="H25" s="404">
        <f t="shared" si="4"/>
        <v>0</v>
      </c>
      <c r="I25" s="404">
        <f t="shared" si="4"/>
        <v>0</v>
      </c>
      <c r="J25" s="404">
        <f t="shared" si="4"/>
        <v>0</v>
      </c>
      <c r="K25" s="267"/>
      <c r="L25" s="268"/>
      <c r="M25" s="268"/>
      <c r="N25" s="405">
        <f>SUM(B25:J25)</f>
        <v>1000</v>
      </c>
      <c r="O25" s="10"/>
      <c r="P25" s="355" t="s">
        <v>41</v>
      </c>
      <c r="Q25" s="383"/>
      <c r="R25" s="2"/>
      <c r="S25" s="261">
        <f>N39</f>
        <v>220</v>
      </c>
      <c r="T25" s="262" t="str">
        <f>IF(N45="","",N45)</f>
        <v/>
      </c>
      <c r="U25" s="263" t="str">
        <f>N41</f>
        <v/>
      </c>
      <c r="V25" s="264" t="str">
        <f t="shared" si="2"/>
        <v/>
      </c>
      <c r="W25" s="45"/>
      <c r="X25" s="45"/>
      <c r="Y25" s="45"/>
      <c r="Z25" s="265"/>
      <c r="AA25" s="265"/>
      <c r="AB25" s="265"/>
      <c r="AC25" s="265"/>
      <c r="AD25" s="265"/>
      <c r="AE25" s="266"/>
      <c r="AF25" s="266"/>
      <c r="AG25" s="297"/>
      <c r="AH25" s="327"/>
    </row>
    <row r="26" spans="2:34" ht="16.2" thickBot="1">
      <c r="B26" s="10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406"/>
      <c r="O26" s="10"/>
      <c r="P26" s="355" t="s">
        <v>37</v>
      </c>
      <c r="Q26" s="383"/>
      <c r="R26" s="2"/>
      <c r="S26" s="257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315"/>
    </row>
    <row r="27" spans="2:34" ht="21.6" thickBot="1">
      <c r="B27" s="194" t="s">
        <v>15</v>
      </c>
      <c r="C27" s="195" t="s">
        <v>63</v>
      </c>
      <c r="D27" s="195" t="s">
        <v>64</v>
      </c>
      <c r="E27" s="195" t="s">
        <v>16</v>
      </c>
      <c r="F27" s="195" t="s">
        <v>11</v>
      </c>
      <c r="G27" s="195" t="s">
        <v>12</v>
      </c>
      <c r="H27" s="195" t="s">
        <v>14</v>
      </c>
      <c r="I27" s="195" t="s">
        <v>38</v>
      </c>
      <c r="J27" s="196" t="s">
        <v>13</v>
      </c>
      <c r="K27" s="203" t="s">
        <v>97</v>
      </c>
      <c r="L27" s="197" t="s">
        <v>44</v>
      </c>
      <c r="M27" s="202"/>
      <c r="N27" s="411">
        <v>1000</v>
      </c>
      <c r="O27" s="2"/>
      <c r="P27" s="381" t="s">
        <v>114</v>
      </c>
      <c r="Q27" s="384"/>
      <c r="R27" s="2"/>
      <c r="S27" s="248" t="s">
        <v>92</v>
      </c>
      <c r="T27" s="249"/>
      <c r="U27" s="249"/>
      <c r="V27" s="249"/>
      <c r="W27" s="249"/>
      <c r="X27" s="249"/>
      <c r="Y27" s="249"/>
      <c r="Z27" s="249"/>
      <c r="AA27" s="249"/>
      <c r="AB27" s="249"/>
      <c r="AC27" s="249"/>
      <c r="AD27" s="249"/>
      <c r="AE27" s="249"/>
      <c r="AF27" s="249"/>
      <c r="AG27" s="249"/>
      <c r="AH27" s="323"/>
    </row>
    <row r="28" spans="2:34" ht="17.25" customHeight="1" thickBot="1">
      <c r="B28" s="155">
        <v>150</v>
      </c>
      <c r="C28" s="156">
        <v>150</v>
      </c>
      <c r="D28" s="156">
        <v>150</v>
      </c>
      <c r="E28" s="156"/>
      <c r="F28" s="156"/>
      <c r="G28" s="156"/>
      <c r="H28" s="156"/>
      <c r="I28" s="156"/>
      <c r="J28" s="156"/>
      <c r="K28" s="204" t="s">
        <v>96</v>
      </c>
      <c r="L28" s="402">
        <f>M28*N27</f>
        <v>260</v>
      </c>
      <c r="M28" s="412">
        <v>0.26</v>
      </c>
      <c r="N28" s="159"/>
      <c r="O28" s="2"/>
      <c r="P28" s="355" t="s">
        <v>38</v>
      </c>
      <c r="Q28" s="383"/>
      <c r="R28" s="2"/>
      <c r="S28" s="306" t="s">
        <v>87</v>
      </c>
      <c r="T28" s="16"/>
      <c r="U28" s="17" t="s">
        <v>86</v>
      </c>
      <c r="V28" s="18"/>
      <c r="W28" s="19" t="s">
        <v>15</v>
      </c>
      <c r="X28" s="19" t="s">
        <v>89</v>
      </c>
      <c r="Y28" s="19" t="s">
        <v>90</v>
      </c>
      <c r="Z28" s="19" t="s">
        <v>16</v>
      </c>
      <c r="AA28" s="19" t="s">
        <v>11</v>
      </c>
      <c r="AB28" s="19" t="s">
        <v>12</v>
      </c>
      <c r="AC28" s="19" t="s">
        <v>14</v>
      </c>
      <c r="AD28" s="19" t="s">
        <v>38</v>
      </c>
      <c r="AE28" s="245" t="s">
        <v>13</v>
      </c>
      <c r="AF28" s="272" t="s">
        <v>101</v>
      </c>
      <c r="AG28" s="320" t="s">
        <v>102</v>
      </c>
      <c r="AH28" s="322" t="s">
        <v>108</v>
      </c>
    </row>
    <row r="29" spans="2:34" ht="16.5" customHeight="1" thickBot="1">
      <c r="B29" s="10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0"/>
      <c r="P29" s="190"/>
      <c r="Q29" s="189" t="s">
        <v>74</v>
      </c>
      <c r="R29" s="2"/>
      <c r="S29" s="250"/>
      <c r="T29" s="251"/>
      <c r="U29" s="252"/>
      <c r="V29" s="253"/>
      <c r="W29" s="254"/>
      <c r="X29" s="254"/>
      <c r="Y29" s="254"/>
      <c r="Z29" s="255"/>
      <c r="AA29" s="255"/>
      <c r="AB29" s="255"/>
      <c r="AC29" s="255"/>
      <c r="AD29" s="255"/>
      <c r="AE29" s="256"/>
      <c r="AF29" s="256"/>
      <c r="AG29" s="294"/>
      <c r="AH29" s="328"/>
    </row>
    <row r="30" spans="2:34" ht="18.600000000000001" thickBot="1">
      <c r="B30" s="54" t="s">
        <v>46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6"/>
      <c r="O30" s="10"/>
      <c r="P30" s="191"/>
      <c r="Q30" s="244" t="s">
        <v>75</v>
      </c>
      <c r="R30" s="154"/>
      <c r="S30" s="257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315"/>
    </row>
    <row r="31" spans="2:34" ht="16.5" customHeight="1" thickBot="1">
      <c r="B31" s="29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1"/>
      <c r="O31" s="10"/>
      <c r="P31" s="51"/>
      <c r="Q31" s="75"/>
      <c r="R31" s="2"/>
      <c r="S31" s="258" t="s">
        <v>85</v>
      </c>
      <c r="T31" s="17" t="s">
        <v>91</v>
      </c>
      <c r="U31" s="17" t="s">
        <v>86</v>
      </c>
      <c r="V31" s="17" t="s">
        <v>47</v>
      </c>
      <c r="W31" s="19" t="s">
        <v>15</v>
      </c>
      <c r="X31" s="19" t="s">
        <v>89</v>
      </c>
      <c r="Y31" s="19" t="s">
        <v>90</v>
      </c>
      <c r="Z31" s="19" t="s">
        <v>16</v>
      </c>
      <c r="AA31" s="19" t="s">
        <v>11</v>
      </c>
      <c r="AB31" s="19" t="s">
        <v>12</v>
      </c>
      <c r="AC31" s="19" t="s">
        <v>14</v>
      </c>
      <c r="AD31" s="19" t="s">
        <v>38</v>
      </c>
      <c r="AE31" s="245" t="s">
        <v>13</v>
      </c>
      <c r="AF31" s="272" t="s">
        <v>101</v>
      </c>
      <c r="AG31" s="320" t="s">
        <v>102</v>
      </c>
      <c r="AH31" s="322" t="s">
        <v>108</v>
      </c>
    </row>
    <row r="32" spans="2:34" ht="21.6" thickBot="1">
      <c r="B32" s="59" t="s">
        <v>45</v>
      </c>
      <c r="C32" s="60"/>
      <c r="D32" s="61">
        <f>N73</f>
        <v>271.99916785257295</v>
      </c>
      <c r="E32" s="60"/>
      <c r="F32" s="62" t="s">
        <v>47</v>
      </c>
      <c r="G32" s="60"/>
      <c r="H32" s="63">
        <f>D32-D14</f>
        <v>36.157958022705259</v>
      </c>
      <c r="I32" s="60"/>
      <c r="J32" s="269" t="s">
        <v>48</v>
      </c>
      <c r="K32" s="60"/>
      <c r="L32" s="60"/>
      <c r="M32" s="63"/>
      <c r="N32" s="188" t="s">
        <v>94</v>
      </c>
      <c r="O32" s="9"/>
      <c r="P32" s="238" t="s">
        <v>110</v>
      </c>
      <c r="Q32" s="239"/>
      <c r="R32" s="10"/>
      <c r="S32" s="385">
        <v>0.2</v>
      </c>
      <c r="T32" s="386"/>
      <c r="U32" s="34"/>
      <c r="V32" s="34"/>
      <c r="W32" s="34"/>
      <c r="X32" s="34"/>
      <c r="Y32" s="34"/>
      <c r="Z32" s="36"/>
      <c r="AA32" s="36"/>
      <c r="AB32" s="36"/>
      <c r="AC32" s="36"/>
      <c r="AD32" s="36"/>
      <c r="AE32" s="246"/>
      <c r="AF32" s="246"/>
      <c r="AG32" s="295"/>
      <c r="AH32" s="325"/>
    </row>
    <row r="33" spans="2:34" ht="19.5" customHeight="1" thickBot="1">
      <c r="B33" s="29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1"/>
      <c r="O33" s="9"/>
      <c r="P33" s="237">
        <f>IFERROR(((SUM(B35:J35)-SUM(B17:J17))/SUM(B17:J17)),"")</f>
        <v>0.35686885016865272</v>
      </c>
      <c r="Q33" s="234"/>
      <c r="R33" s="10"/>
      <c r="S33" s="368">
        <v>0.21</v>
      </c>
      <c r="T33" s="171"/>
      <c r="U33" s="45"/>
      <c r="V33" s="45"/>
      <c r="W33" s="45"/>
      <c r="X33" s="45"/>
      <c r="Y33" s="45"/>
      <c r="Z33" s="47"/>
      <c r="AA33" s="47"/>
      <c r="AB33" s="47"/>
      <c r="AC33" s="47"/>
      <c r="AD33" s="47"/>
      <c r="AE33" s="247"/>
      <c r="AF33" s="247"/>
      <c r="AG33" s="296"/>
      <c r="AH33" s="326"/>
    </row>
    <row r="34" spans="2:34" ht="18" customHeight="1" thickBot="1">
      <c r="B34" s="307" t="s">
        <v>15</v>
      </c>
      <c r="C34" s="308" t="s">
        <v>63</v>
      </c>
      <c r="D34" s="308" t="s">
        <v>64</v>
      </c>
      <c r="E34" s="308" t="s">
        <v>16</v>
      </c>
      <c r="F34" s="308" t="s">
        <v>11</v>
      </c>
      <c r="G34" s="308" t="s">
        <v>12</v>
      </c>
      <c r="H34" s="308" t="s">
        <v>14</v>
      </c>
      <c r="I34" s="308" t="s">
        <v>38</v>
      </c>
      <c r="J34" s="308" t="s">
        <v>13</v>
      </c>
      <c r="K34" s="309" t="s">
        <v>44</v>
      </c>
      <c r="L34" s="310"/>
      <c r="M34" s="311" t="s">
        <v>101</v>
      </c>
      <c r="N34" s="322" t="s">
        <v>107</v>
      </c>
      <c r="O34" s="10"/>
      <c r="P34" s="231"/>
      <c r="Q34" s="230"/>
      <c r="R34" s="2"/>
      <c r="S34" s="368">
        <v>0.22</v>
      </c>
      <c r="T34" s="171"/>
      <c r="U34" s="45"/>
      <c r="V34" s="45"/>
      <c r="W34" s="45"/>
      <c r="X34" s="45"/>
      <c r="Y34" s="45"/>
      <c r="Z34" s="47"/>
      <c r="AA34" s="47"/>
      <c r="AB34" s="47"/>
      <c r="AC34" s="47"/>
      <c r="AD34" s="47"/>
      <c r="AE34" s="247"/>
      <c r="AF34" s="247"/>
      <c r="AG34" s="296"/>
      <c r="AH34" s="326"/>
    </row>
    <row r="35" spans="2:34" ht="18.600000000000001" thickBot="1">
      <c r="B35" s="64">
        <f>L75</f>
        <v>91.304347826086968</v>
      </c>
      <c r="C35" s="65">
        <f>L76</f>
        <v>35.727788279773158</v>
      </c>
      <c r="D35" s="65">
        <f>L77</f>
        <v>49.621928166351609</v>
      </c>
      <c r="E35" s="66">
        <f>L78</f>
        <v>58.695652173913039</v>
      </c>
      <c r="F35" s="66">
        <f>L79</f>
        <v>67.600000000000009</v>
      </c>
      <c r="G35" s="66">
        <f>L80</f>
        <v>33.800000000000004</v>
      </c>
      <c r="H35" s="66">
        <f>L82</f>
        <v>5.9546313799621924</v>
      </c>
      <c r="I35" s="66">
        <f>L83</f>
        <v>0</v>
      </c>
      <c r="J35" s="66">
        <f>L81</f>
        <v>42.833648393194707</v>
      </c>
      <c r="K35" s="413">
        <v>260</v>
      </c>
      <c r="L35" s="67"/>
      <c r="M35" s="291">
        <f>L85</f>
        <v>68533.669429434609</v>
      </c>
      <c r="N35" s="324">
        <f>L86</f>
        <v>697581.62227645691</v>
      </c>
      <c r="O35" s="9"/>
      <c r="P35" s="10"/>
      <c r="Q35" s="3"/>
      <c r="R35" s="2"/>
      <c r="S35" s="368">
        <v>0.23</v>
      </c>
      <c r="T35" s="171"/>
      <c r="U35" s="45"/>
      <c r="V35" s="45"/>
      <c r="W35" s="45"/>
      <c r="X35" s="45"/>
      <c r="Y35" s="45"/>
      <c r="Z35" s="47"/>
      <c r="AA35" s="47"/>
      <c r="AB35" s="47"/>
      <c r="AC35" s="47"/>
      <c r="AD35" s="47"/>
      <c r="AE35" s="247"/>
      <c r="AF35" s="247"/>
      <c r="AG35" s="296"/>
      <c r="AH35" s="326"/>
    </row>
    <row r="36" spans="2:34" ht="17.25" customHeight="1" thickBot="1">
      <c r="B36" s="10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9"/>
      <c r="P36" s="240" t="s">
        <v>95</v>
      </c>
      <c r="Q36" s="241"/>
      <c r="R36" s="2"/>
      <c r="S36" s="368">
        <v>0.24</v>
      </c>
      <c r="T36" s="171"/>
      <c r="U36" s="45"/>
      <c r="V36" s="45"/>
      <c r="W36" s="45"/>
      <c r="X36" s="45"/>
      <c r="Y36" s="45"/>
      <c r="Z36" s="47"/>
      <c r="AA36" s="47"/>
      <c r="AB36" s="47"/>
      <c r="AC36" s="47"/>
      <c r="AD36" s="47"/>
      <c r="AE36" s="247"/>
      <c r="AF36" s="247"/>
      <c r="AG36" s="296"/>
      <c r="AH36" s="326"/>
    </row>
    <row r="37" spans="2:34" ht="18.75" customHeight="1" thickBot="1">
      <c r="B37" s="68" t="s">
        <v>70</v>
      </c>
      <c r="C37" s="69"/>
      <c r="D37" s="69"/>
      <c r="E37" s="69"/>
      <c r="F37" s="69"/>
      <c r="G37" s="69"/>
      <c r="H37" s="170"/>
      <c r="I37" s="69"/>
      <c r="J37" s="69"/>
      <c r="K37" s="69"/>
      <c r="L37" s="69"/>
      <c r="M37" s="69"/>
      <c r="N37" s="70"/>
      <c r="O37" s="9"/>
      <c r="P37" s="236">
        <f>IFERROR((J35-J17)/J17,"")</f>
        <v>0</v>
      </c>
      <c r="Q37" s="235"/>
      <c r="R37" s="2"/>
      <c r="S37" s="368">
        <v>0.25</v>
      </c>
      <c r="T37" s="171"/>
      <c r="U37" s="45"/>
      <c r="V37" s="45"/>
      <c r="W37" s="45"/>
      <c r="X37" s="45"/>
      <c r="Y37" s="45"/>
      <c r="Z37" s="47"/>
      <c r="AA37" s="47"/>
      <c r="AB37" s="47"/>
      <c r="AC37" s="47"/>
      <c r="AD37" s="47"/>
      <c r="AE37" s="247"/>
      <c r="AF37" s="247"/>
      <c r="AG37" s="296"/>
      <c r="AH37" s="326"/>
    </row>
    <row r="38" spans="2:34" ht="16.5" customHeight="1" thickBot="1">
      <c r="B38" s="71" t="s">
        <v>49</v>
      </c>
      <c r="C38" s="72" t="s">
        <v>50</v>
      </c>
      <c r="D38" s="72" t="s">
        <v>51</v>
      </c>
      <c r="E38" s="72" t="s">
        <v>52</v>
      </c>
      <c r="F38" s="72" t="s">
        <v>53</v>
      </c>
      <c r="G38" s="72" t="s">
        <v>54</v>
      </c>
      <c r="H38" s="72" t="s">
        <v>55</v>
      </c>
      <c r="I38" s="72" t="s">
        <v>56</v>
      </c>
      <c r="J38" s="72" t="s">
        <v>57</v>
      </c>
      <c r="K38" s="72" t="s">
        <v>58</v>
      </c>
      <c r="L38" s="72" t="s">
        <v>59</v>
      </c>
      <c r="M38" s="72" t="s">
        <v>60</v>
      </c>
      <c r="N38" s="73" t="s">
        <v>61</v>
      </c>
      <c r="O38" s="10"/>
      <c r="P38" s="232"/>
      <c r="Q38" s="233"/>
      <c r="R38" s="2"/>
      <c r="S38" s="369">
        <v>0.28000000000000003</v>
      </c>
      <c r="T38" s="171"/>
      <c r="U38" s="45"/>
      <c r="V38" s="45"/>
      <c r="W38" s="45"/>
      <c r="X38" s="45"/>
      <c r="Y38" s="45"/>
      <c r="Z38" s="47"/>
      <c r="AA38" s="47"/>
      <c r="AB38" s="47"/>
      <c r="AC38" s="47"/>
      <c r="AD38" s="47"/>
      <c r="AE38" s="247"/>
      <c r="AF38" s="247"/>
      <c r="AG38" s="296"/>
      <c r="AH38" s="326"/>
    </row>
    <row r="39" spans="2:34" ht="18" customHeight="1" thickBot="1">
      <c r="B39" s="25">
        <v>100</v>
      </c>
      <c r="C39" s="26">
        <v>110</v>
      </c>
      <c r="D39" s="26">
        <v>120</v>
      </c>
      <c r="E39" s="26">
        <v>130</v>
      </c>
      <c r="F39" s="26">
        <v>140</v>
      </c>
      <c r="G39" s="26">
        <v>150</v>
      </c>
      <c r="H39" s="26">
        <v>160</v>
      </c>
      <c r="I39" s="26">
        <v>170</v>
      </c>
      <c r="J39" s="26">
        <v>180</v>
      </c>
      <c r="K39" s="26">
        <v>190</v>
      </c>
      <c r="L39" s="26">
        <v>200</v>
      </c>
      <c r="M39" s="26">
        <v>210</v>
      </c>
      <c r="N39" s="74">
        <v>220</v>
      </c>
      <c r="O39" s="75"/>
      <c r="P39" s="51"/>
      <c r="Q39" s="53"/>
      <c r="R39" s="52"/>
      <c r="S39" s="370">
        <v>0.3</v>
      </c>
      <c r="T39" s="349"/>
      <c r="U39" s="350"/>
      <c r="V39" s="350"/>
      <c r="W39" s="350"/>
      <c r="X39" s="350"/>
      <c r="Y39" s="350"/>
      <c r="Z39" s="351"/>
      <c r="AA39" s="351"/>
      <c r="AB39" s="351"/>
      <c r="AC39" s="351"/>
      <c r="AD39" s="351"/>
      <c r="AE39" s="352"/>
      <c r="AF39" s="352"/>
      <c r="AG39" s="353"/>
      <c r="AH39" s="354"/>
    </row>
    <row r="40" spans="2:34" ht="16.5" customHeight="1">
      <c r="B40" s="172" t="s">
        <v>62</v>
      </c>
      <c r="C40" s="173"/>
      <c r="D40" s="173"/>
      <c r="E40" s="173"/>
      <c r="F40" s="173"/>
      <c r="G40" s="174"/>
      <c r="H40" s="175"/>
      <c r="I40" s="176"/>
      <c r="J40" s="173"/>
      <c r="K40" s="173"/>
      <c r="L40" s="173"/>
      <c r="M40" s="173"/>
      <c r="N40" s="177"/>
      <c r="O40" s="178"/>
      <c r="P40" s="260"/>
      <c r="Q40" s="4"/>
      <c r="R40" s="4"/>
      <c r="S40" s="1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314"/>
    </row>
    <row r="41" spans="2:34" ht="15.6">
      <c r="B41" s="179" t="str">
        <f>IF(C114="","",C114)</f>
        <v/>
      </c>
      <c r="C41" s="80" t="str">
        <f>IF(C115="","",C115)</f>
        <v/>
      </c>
      <c r="D41" s="80" t="str">
        <f>IF(C116="","",C116)</f>
        <v/>
      </c>
      <c r="E41" s="80" t="str">
        <f>IF(C117="","",C117)</f>
        <v/>
      </c>
      <c r="F41" s="80" t="str">
        <f>IF(C118="","",C118)</f>
        <v/>
      </c>
      <c r="G41" s="80" t="str">
        <f>IF(C119="","",C119)</f>
        <v/>
      </c>
      <c r="H41" s="80" t="str">
        <f>IF(C120="","",C120)</f>
        <v/>
      </c>
      <c r="I41" s="80" t="str">
        <f>IF(C121="","",C121)</f>
        <v/>
      </c>
      <c r="J41" s="80" t="str">
        <f>IF(C122="","",C122)</f>
        <v/>
      </c>
      <c r="K41" s="80" t="str">
        <f>IF(C123="","",C123)</f>
        <v/>
      </c>
      <c r="L41" s="80" t="str">
        <f>IF(C124="","",C124)</f>
        <v/>
      </c>
      <c r="M41" s="80" t="str">
        <f>IF(C125="","",C125)</f>
        <v/>
      </c>
      <c r="N41" s="80" t="str">
        <f>IF(C126="","",C126)</f>
        <v/>
      </c>
      <c r="O41" s="77"/>
      <c r="P41" s="78"/>
      <c r="Q41" s="9"/>
      <c r="R41" s="9"/>
      <c r="S41" s="10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G41" s="2"/>
      <c r="AH41" s="313"/>
    </row>
    <row r="42" spans="2:34" ht="13.5" customHeight="1">
      <c r="B42" s="180" t="s">
        <v>76</v>
      </c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2"/>
      <c r="O42" s="79"/>
      <c r="P42" s="78"/>
      <c r="Q42" s="9"/>
      <c r="R42" s="9"/>
      <c r="S42" s="10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G42" s="2"/>
      <c r="AH42" s="313"/>
    </row>
    <row r="43" spans="2:34">
      <c r="B43" s="181" t="str">
        <f>IF(B41="","",IF(B41&lt;&gt;0,B41-$D$14))</f>
        <v/>
      </c>
      <c r="C43" s="83" t="str">
        <f t="shared" ref="C43:N43" si="5">IF(C41="","",IF(C41&lt;&gt;0,C41-$D$14))</f>
        <v/>
      </c>
      <c r="D43" s="83" t="str">
        <f t="shared" si="5"/>
        <v/>
      </c>
      <c r="E43" s="83" t="str">
        <f t="shared" si="5"/>
        <v/>
      </c>
      <c r="F43" s="83" t="str">
        <f t="shared" si="5"/>
        <v/>
      </c>
      <c r="G43" s="83" t="str">
        <f t="shared" si="5"/>
        <v/>
      </c>
      <c r="H43" s="83" t="str">
        <f t="shared" si="5"/>
        <v/>
      </c>
      <c r="I43" s="83" t="str">
        <f t="shared" si="5"/>
        <v/>
      </c>
      <c r="J43" s="83" t="str">
        <f t="shared" si="5"/>
        <v/>
      </c>
      <c r="K43" s="83" t="str">
        <f t="shared" si="5"/>
        <v/>
      </c>
      <c r="L43" s="83" t="str">
        <f t="shared" si="5"/>
        <v/>
      </c>
      <c r="M43" s="83" t="str">
        <f t="shared" si="5"/>
        <v/>
      </c>
      <c r="N43" s="83" t="str">
        <f t="shared" si="5"/>
        <v/>
      </c>
      <c r="O43" s="77"/>
      <c r="P43" s="78"/>
      <c r="Q43" s="9"/>
      <c r="R43" s="9"/>
      <c r="S43" s="10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G43" s="2"/>
      <c r="AH43" s="313"/>
    </row>
    <row r="44" spans="2:34" ht="13.5" customHeight="1">
      <c r="B44" s="182" t="s">
        <v>69</v>
      </c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77"/>
      <c r="P44" s="78"/>
      <c r="Q44" s="9"/>
      <c r="R44" s="9"/>
      <c r="S44" s="10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G44" s="2"/>
      <c r="AH44" s="313"/>
    </row>
    <row r="45" spans="2:34" ht="15.75" customHeight="1" thickBot="1">
      <c r="B45" s="183"/>
      <c r="C45" s="184"/>
      <c r="D45" s="184"/>
      <c r="E45" s="184"/>
      <c r="F45" s="184"/>
      <c r="G45" s="184"/>
      <c r="H45" s="184"/>
      <c r="I45" s="184"/>
      <c r="J45" s="184"/>
      <c r="K45" s="184"/>
      <c r="L45" s="184"/>
      <c r="M45" s="184"/>
      <c r="N45" s="184"/>
      <c r="O45" s="185"/>
      <c r="P45" s="186"/>
      <c r="Q45" s="75"/>
      <c r="R45" s="75"/>
      <c r="S45" s="51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316"/>
    </row>
    <row r="46" spans="2:34" ht="15.75" customHeight="1">
      <c r="B46" s="89"/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1"/>
      <c r="O46" s="77"/>
      <c r="P46" s="2"/>
      <c r="Q46" s="77"/>
      <c r="R46" s="77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79"/>
      <c r="AF46" s="79"/>
      <c r="AG46" s="78"/>
      <c r="AH46" s="137"/>
    </row>
    <row r="47" spans="2:34" ht="15.75" customHeight="1">
      <c r="B47" s="89"/>
      <c r="C47" s="90"/>
      <c r="D47" s="90"/>
      <c r="E47" s="90"/>
      <c r="F47" s="367"/>
      <c r="G47" s="90"/>
      <c r="H47" s="90"/>
      <c r="I47" s="90"/>
      <c r="J47" s="90"/>
      <c r="K47" s="90"/>
      <c r="L47" s="90"/>
      <c r="M47" s="90"/>
      <c r="N47" s="91"/>
      <c r="O47" s="77"/>
      <c r="P47" s="2"/>
      <c r="Q47" s="77"/>
      <c r="R47" s="77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79"/>
      <c r="AF47" s="79"/>
      <c r="AG47" s="78"/>
      <c r="AH47" s="137"/>
    </row>
    <row r="48" spans="2:34" ht="15.75" customHeight="1">
      <c r="B48" s="89"/>
      <c r="C48" s="90"/>
      <c r="D48" s="90"/>
      <c r="E48" s="90"/>
      <c r="F48" s="367"/>
      <c r="G48" s="90"/>
      <c r="H48" s="90"/>
      <c r="I48" s="90"/>
      <c r="J48" s="90"/>
      <c r="K48" s="90"/>
      <c r="L48" s="90"/>
      <c r="M48" s="90"/>
      <c r="N48" s="91"/>
      <c r="O48" s="77"/>
      <c r="P48" s="2"/>
      <c r="Q48" s="77"/>
      <c r="R48" s="77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79"/>
      <c r="AF48" s="79"/>
      <c r="AG48" s="78"/>
      <c r="AH48" s="137"/>
    </row>
    <row r="49" spans="2:34" ht="15.75" customHeight="1">
      <c r="B49" s="89"/>
      <c r="C49" s="90"/>
      <c r="D49" s="90"/>
      <c r="E49" s="90"/>
      <c r="F49" s="367"/>
      <c r="G49" s="367"/>
      <c r="H49" s="367"/>
      <c r="I49" s="367"/>
      <c r="J49" s="367"/>
      <c r="K49" s="90"/>
      <c r="L49" s="90"/>
      <c r="M49" s="90"/>
      <c r="N49" s="91"/>
      <c r="O49" s="77"/>
      <c r="P49" s="2"/>
      <c r="Q49" s="77"/>
      <c r="R49" s="77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79"/>
      <c r="AF49" s="79"/>
      <c r="AG49" s="78"/>
      <c r="AH49" s="137"/>
    </row>
    <row r="50" spans="2:34" ht="15.75" customHeight="1">
      <c r="B50" s="89"/>
      <c r="C50" s="90"/>
      <c r="D50" s="90"/>
      <c r="E50" s="90"/>
      <c r="F50" s="367"/>
      <c r="G50" s="90"/>
      <c r="H50" s="90"/>
      <c r="I50" s="90"/>
      <c r="J50" s="90"/>
      <c r="K50" s="90"/>
      <c r="L50" s="90"/>
      <c r="M50" s="90"/>
      <c r="N50" s="91"/>
      <c r="O50" s="77"/>
      <c r="P50" s="2"/>
      <c r="Q50" s="77"/>
      <c r="R50" s="77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79"/>
      <c r="AF50" s="77"/>
      <c r="AG50" s="78"/>
      <c r="AH50" s="137"/>
    </row>
    <row r="51" spans="2:34" ht="15.75" customHeight="1">
      <c r="B51" s="89"/>
      <c r="C51" s="90"/>
      <c r="D51" s="90"/>
      <c r="E51" s="90"/>
      <c r="F51" s="367"/>
      <c r="G51" s="90"/>
      <c r="H51" s="90"/>
      <c r="I51" s="90"/>
      <c r="J51" s="90"/>
      <c r="K51" s="90"/>
      <c r="L51" s="90"/>
      <c r="M51" s="90"/>
      <c r="N51" s="91"/>
      <c r="O51" s="77"/>
      <c r="P51" s="2"/>
      <c r="Q51" s="77"/>
      <c r="R51" s="77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79"/>
      <c r="AF51" s="77"/>
      <c r="AG51" s="78"/>
      <c r="AH51" s="137"/>
    </row>
    <row r="52" spans="2:34" ht="15.75" customHeight="1">
      <c r="B52" s="89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1"/>
      <c r="O52" s="77"/>
      <c r="P52" s="2"/>
      <c r="Q52" s="77"/>
      <c r="R52" s="77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79"/>
      <c r="AF52" s="77"/>
      <c r="AG52" s="78"/>
      <c r="AH52" s="137"/>
    </row>
    <row r="53" spans="2:34" ht="15.75" customHeight="1">
      <c r="B53" s="92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4"/>
      <c r="O53" s="77"/>
      <c r="P53" s="2"/>
      <c r="Q53" s="77"/>
      <c r="R53" s="77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79"/>
      <c r="AF53" s="77"/>
      <c r="AG53" s="78"/>
      <c r="AH53" s="137"/>
    </row>
    <row r="54" spans="2:34" ht="27.75" customHeight="1">
      <c r="B54" s="95"/>
      <c r="C54" s="96" t="str">
        <f>IF(B5="","",B5)</f>
        <v>Urea</v>
      </c>
      <c r="D54" s="96" t="str">
        <f t="shared" ref="D54:K54" si="6">IF(C5="","",C5)</f>
        <v>DAP</v>
      </c>
      <c r="E54" s="96" t="str">
        <f t="shared" si="6"/>
        <v>MOP</v>
      </c>
      <c r="F54" s="96" t="str">
        <f t="shared" si="6"/>
        <v xml:space="preserve">Kieserite </v>
      </c>
      <c r="G54" s="96" t="str">
        <f t="shared" si="6"/>
        <v>Filler</v>
      </c>
      <c r="H54" s="96" t="str">
        <f t="shared" si="6"/>
        <v/>
      </c>
      <c r="I54" s="96" t="str">
        <f t="shared" si="6"/>
        <v/>
      </c>
      <c r="J54" s="96" t="str">
        <f t="shared" si="6"/>
        <v/>
      </c>
      <c r="K54" s="96" t="str">
        <f t="shared" si="6"/>
        <v/>
      </c>
      <c r="L54" s="97"/>
      <c r="M54" s="98"/>
      <c r="N54" s="393">
        <v>0</v>
      </c>
      <c r="O54" s="77"/>
      <c r="P54" s="2"/>
      <c r="Q54" s="77"/>
      <c r="R54" s="77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79"/>
      <c r="AF54" s="77"/>
      <c r="AG54" s="78"/>
      <c r="AH54" s="137"/>
    </row>
    <row r="55" spans="2:34">
      <c r="B55" s="99"/>
      <c r="C55" s="407">
        <v>198.48771266540643</v>
      </c>
      <c r="D55" s="407">
        <v>326.08695652173913</v>
      </c>
      <c r="E55" s="407">
        <v>250.00000000000003</v>
      </c>
      <c r="F55" s="407">
        <v>0</v>
      </c>
      <c r="G55" s="407">
        <v>225.42533081285441</v>
      </c>
      <c r="H55" s="407">
        <v>0</v>
      </c>
      <c r="I55" s="407">
        <v>0</v>
      </c>
      <c r="J55" s="407">
        <v>0</v>
      </c>
      <c r="K55" s="407">
        <v>0</v>
      </c>
      <c r="L55" s="100"/>
      <c r="M55" s="101"/>
      <c r="N55" s="389">
        <f>SUM(C55:K55)</f>
        <v>1000</v>
      </c>
      <c r="O55" s="77"/>
      <c r="P55" s="2"/>
      <c r="Q55" s="77"/>
      <c r="R55" s="77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79"/>
      <c r="AF55" s="77"/>
      <c r="AG55" s="78"/>
      <c r="AH55" s="137"/>
    </row>
    <row r="56" spans="2:34">
      <c r="B56" s="99"/>
      <c r="C56" s="102">
        <f>IF(B6="","",B6)</f>
        <v>0.22</v>
      </c>
      <c r="D56" s="102">
        <f>IF(C6="","",C6)</f>
        <v>0.39</v>
      </c>
      <c r="E56" s="102">
        <f>IF(D6="","",D6)</f>
        <v>0.26</v>
      </c>
      <c r="F56" s="102">
        <f>IF(E6="","",E6)</f>
        <v>0.25</v>
      </c>
      <c r="G56" s="102">
        <f t="shared" ref="G56:K56" si="7">IF(F6="","",F6)</f>
        <v>0</v>
      </c>
      <c r="H56" s="102" t="str">
        <f t="shared" si="7"/>
        <v/>
      </c>
      <c r="I56" s="102" t="str">
        <f t="shared" si="7"/>
        <v/>
      </c>
      <c r="J56" s="102" t="str">
        <f t="shared" si="7"/>
        <v/>
      </c>
      <c r="K56" s="102" t="str">
        <f t="shared" si="7"/>
        <v/>
      </c>
      <c r="L56" s="100"/>
      <c r="M56" s="101"/>
      <c r="N56" s="103">
        <f>SUMPRODUCT(C55:K55,C56:K56)</f>
        <v>235.84120982986769</v>
      </c>
      <c r="O56" s="77"/>
      <c r="P56" s="2"/>
      <c r="Q56" s="77"/>
      <c r="R56" s="77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79"/>
      <c r="AF56" s="77"/>
      <c r="AG56" s="78"/>
      <c r="AH56" s="137"/>
    </row>
    <row r="57" spans="2:34">
      <c r="B57" s="99"/>
      <c r="C57" s="104">
        <f>IFERROR(IF(HLOOKUP(C$54,$B$96:$AB$108,2,FALSE)=0,"",IF(HLOOKUP(C$54,$B$96:$AB$108,2,FALSE)&gt;0,HLOOKUP(C$54,$B$96:$AB$108,2,FALSE))),"")</f>
        <v>1</v>
      </c>
      <c r="D57" s="104">
        <f t="shared" ref="D57:K57" si="8">IFERROR(IF(HLOOKUP(D$54,$B$96:$AB$108,2,FALSE)=0,"",IF(HLOOKUP(D$54,$B$96:$AB$108,2,FALSE)&gt;0,HLOOKUP(D$54,$B$96:$AB$108,2,FALSE))),"")</f>
        <v>1</v>
      </c>
      <c r="E57" s="104">
        <f t="shared" si="8"/>
        <v>1</v>
      </c>
      <c r="F57" s="104">
        <f t="shared" si="8"/>
        <v>1</v>
      </c>
      <c r="G57" s="104">
        <f t="shared" si="8"/>
        <v>1</v>
      </c>
      <c r="H57" s="104" t="str">
        <f t="shared" si="8"/>
        <v/>
      </c>
      <c r="I57" s="104" t="str">
        <f t="shared" si="8"/>
        <v/>
      </c>
      <c r="J57" s="104" t="str">
        <f t="shared" si="8"/>
        <v/>
      </c>
      <c r="K57" s="104" t="str">
        <f t="shared" si="8"/>
        <v/>
      </c>
      <c r="L57" s="193">
        <f t="shared" ref="L57:L68" si="9">SUMPRODUCT($C$55:$K$55,C57:K57)</f>
        <v>1000</v>
      </c>
      <c r="M57" s="105" t="s">
        <v>39</v>
      </c>
      <c r="N57" s="106">
        <f>N27</f>
        <v>1000</v>
      </c>
      <c r="O57" s="77"/>
      <c r="P57" s="2"/>
      <c r="Q57" s="77"/>
      <c r="R57" s="77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79"/>
      <c r="AF57" s="77"/>
      <c r="AG57" s="78"/>
      <c r="AH57" s="137"/>
    </row>
    <row r="58" spans="2:34">
      <c r="B58" s="107" t="s">
        <v>80</v>
      </c>
      <c r="C58" s="108" t="str">
        <f>IFERROR(IF(HLOOKUP(C$54,$B$96:$AB$108,3,FALSE)=0,"",IF(HLOOKUP(C$54,$B$96:$AB$108,3,FALSE)&gt;0,HLOOKUP(C$54,$B$96:$AB$108,3,FALSE))),"")</f>
        <v/>
      </c>
      <c r="D58" s="108">
        <f t="shared" ref="D58:K58" si="10">IFERROR(IF(HLOOKUP(D$54,$B$96:$AB$108,3,FALSE)=0,"",IF(HLOOKUP(D$54,$B$96:$AB$108,3,FALSE)&gt;0,HLOOKUP(D$54,$B$96:$AB$108,3,FALSE))),"")</f>
        <v>0.28000000000000003</v>
      </c>
      <c r="E58" s="108" t="str">
        <f t="shared" si="10"/>
        <v/>
      </c>
      <c r="F58" s="108" t="str">
        <f t="shared" si="10"/>
        <v/>
      </c>
      <c r="G58" s="108" t="str">
        <f t="shared" si="10"/>
        <v/>
      </c>
      <c r="H58" s="108" t="str">
        <f t="shared" si="10"/>
        <v/>
      </c>
      <c r="I58" s="108" t="str">
        <f t="shared" si="10"/>
        <v/>
      </c>
      <c r="J58" s="108" t="str">
        <f t="shared" si="10"/>
        <v/>
      </c>
      <c r="K58" s="108" t="str">
        <f t="shared" si="10"/>
        <v/>
      </c>
      <c r="L58" s="109">
        <f t="shared" si="9"/>
        <v>91.304347826086968</v>
      </c>
      <c r="M58" s="110" t="s">
        <v>39</v>
      </c>
      <c r="N58" s="111">
        <f>B10</f>
        <v>150</v>
      </c>
      <c r="O58" s="77"/>
      <c r="P58" s="2"/>
      <c r="Q58" s="77"/>
      <c r="R58" s="77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79"/>
      <c r="AF58" s="77"/>
      <c r="AG58" s="78"/>
      <c r="AH58" s="137"/>
    </row>
    <row r="59" spans="2:34">
      <c r="B59" s="107" t="s">
        <v>81</v>
      </c>
      <c r="C59" s="108">
        <f>IFERROR(IF(HLOOKUP(C$54,$B$96:$AB$108,4,FALSE)=0,"",IF(HLOOKUP(C$54,$B$96:$AB$108,4,FALSE)&gt;0,HLOOKUP(C$54,$B$96:$AB$108,4,FALSE))),"")</f>
        <v>0.18</v>
      </c>
      <c r="D59" s="108" t="str">
        <f t="shared" ref="D59:K59" si="11">IFERROR(IF(HLOOKUP(D$54,$B$96:$AB$108,4,FALSE)=0,"",IF(HLOOKUP(D$54,$B$96:$AB$108,4,FALSE)&gt;0,HLOOKUP(D$54,$B$96:$AB$108,4,FALSE))),"")</f>
        <v/>
      </c>
      <c r="E59" s="108" t="str">
        <f t="shared" si="11"/>
        <v/>
      </c>
      <c r="F59" s="108" t="str">
        <f t="shared" si="11"/>
        <v/>
      </c>
      <c r="G59" s="108" t="str">
        <f t="shared" si="11"/>
        <v/>
      </c>
      <c r="H59" s="108" t="str">
        <f t="shared" si="11"/>
        <v/>
      </c>
      <c r="I59" s="108" t="str">
        <f t="shared" si="11"/>
        <v/>
      </c>
      <c r="J59" s="108" t="str">
        <f t="shared" si="11"/>
        <v/>
      </c>
      <c r="K59" s="108" t="str">
        <f t="shared" si="11"/>
        <v/>
      </c>
      <c r="L59" s="109">
        <f>SUMPRODUCT($C$55:$K$55,C59:K59)</f>
        <v>35.727788279773158</v>
      </c>
      <c r="M59" s="110" t="s">
        <v>39</v>
      </c>
      <c r="N59" s="111">
        <f>C10</f>
        <v>150</v>
      </c>
      <c r="O59" s="77"/>
      <c r="P59" s="2"/>
      <c r="Q59" s="77"/>
      <c r="R59" s="77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79"/>
      <c r="AF59" s="77"/>
      <c r="AG59" s="78"/>
      <c r="AH59" s="137"/>
    </row>
    <row r="60" spans="2:34">
      <c r="B60" s="107" t="s">
        <v>82</v>
      </c>
      <c r="C60" s="108">
        <f>IFERROR(IF(HLOOKUP(C$54,$B$96:$AB$108,5,FALSE)=0,"",IF(HLOOKUP(C$54,$B$96:$AB$108,5,FALSE)&gt;0,HLOOKUP(C$54,$B$96:$AB$108,5,FALSE))),"")</f>
        <v>0.25</v>
      </c>
      <c r="D60" s="108" t="str">
        <f t="shared" ref="D60:K60" si="12">IFERROR(IF(HLOOKUP(D$54,$B$96:$AB$108,5,FALSE)=0,"",IF(HLOOKUP(D$54,$B$96:$AB$108,5,FALSE)&gt;0,HLOOKUP(D$54,$B$96:$AB$108,5,FALSE))),"")</f>
        <v/>
      </c>
      <c r="E60" s="108" t="str">
        <f t="shared" si="12"/>
        <v/>
      </c>
      <c r="F60" s="108" t="str">
        <f t="shared" si="12"/>
        <v/>
      </c>
      <c r="G60" s="108" t="str">
        <f t="shared" si="12"/>
        <v/>
      </c>
      <c r="H60" s="108" t="str">
        <f t="shared" si="12"/>
        <v/>
      </c>
      <c r="I60" s="108" t="str">
        <f t="shared" si="12"/>
        <v/>
      </c>
      <c r="J60" s="108" t="str">
        <f t="shared" si="12"/>
        <v/>
      </c>
      <c r="K60" s="108" t="str">
        <f t="shared" si="12"/>
        <v/>
      </c>
      <c r="L60" s="109">
        <f t="shared" si="9"/>
        <v>49.621928166351609</v>
      </c>
      <c r="M60" s="110" t="s">
        <v>39</v>
      </c>
      <c r="N60" s="111">
        <f>D10</f>
        <v>150</v>
      </c>
      <c r="O60" s="77"/>
      <c r="P60" s="2"/>
      <c r="Q60" s="77"/>
      <c r="R60" s="77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79"/>
      <c r="AF60" s="77"/>
      <c r="AG60" s="78"/>
      <c r="AH60" s="137"/>
    </row>
    <row r="61" spans="2:34">
      <c r="B61" s="112" t="s">
        <v>83</v>
      </c>
      <c r="C61" s="113" t="str">
        <f>IFERROR(IF(HLOOKUP(C$54,$B$96:$AB$108,6,FALSE)=0,"",IF(HLOOKUP(C$54,$B$96:$AB$108,6,FALSE)&gt;0,HLOOKUP(C$54,$B$96:$AB$108,6,FALSE))),"")</f>
        <v/>
      </c>
      <c r="D61" s="113">
        <f t="shared" ref="D61:K61" si="13">IFERROR(IF(HLOOKUP(D$54,$B$96:$AB$108,6,FALSE)=0,"",IF(HLOOKUP(D$54,$B$96:$AB$108,6,FALSE)&gt;0,HLOOKUP(D$54,$B$96:$AB$108,6,FALSE))),"")</f>
        <v>0.18</v>
      </c>
      <c r="E61" s="113" t="str">
        <f t="shared" si="13"/>
        <v/>
      </c>
      <c r="F61" s="113" t="str">
        <f t="shared" si="13"/>
        <v/>
      </c>
      <c r="G61" s="113" t="str">
        <f t="shared" si="13"/>
        <v/>
      </c>
      <c r="H61" s="113" t="str">
        <f t="shared" si="13"/>
        <v/>
      </c>
      <c r="I61" s="113" t="str">
        <f t="shared" si="13"/>
        <v/>
      </c>
      <c r="J61" s="113" t="str">
        <f t="shared" si="13"/>
        <v/>
      </c>
      <c r="K61" s="113" t="str">
        <f t="shared" si="13"/>
        <v/>
      </c>
      <c r="L61" s="114">
        <f t="shared" si="9"/>
        <v>58.695652173913039</v>
      </c>
      <c r="M61" s="115" t="s">
        <v>40</v>
      </c>
      <c r="N61" s="116">
        <f>E10</f>
        <v>0</v>
      </c>
      <c r="O61" s="77"/>
      <c r="P61" s="2"/>
      <c r="Q61" s="77"/>
      <c r="R61" s="77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79"/>
      <c r="AF61" s="77"/>
      <c r="AG61" s="78"/>
      <c r="AH61" s="137"/>
    </row>
    <row r="62" spans="2:34">
      <c r="B62" s="112" t="s">
        <v>11</v>
      </c>
      <c r="C62" s="113" t="str">
        <f>IFERROR(IF(HLOOKUP(C$54,$B$96:$AB$108,7,FALSE)=0,"",IF(HLOOKUP(C$54,$B$96:$AB$108,7,FALSE)&gt;0,HLOOKUP(C$54,$B$96:$AB$108,7,FALSE))),"")</f>
        <v/>
      </c>
      <c r="D62" s="113" t="str">
        <f t="shared" ref="D62:K62" si="14">IFERROR(IF(HLOOKUP(D$54,$B$96:$AB$108,7,FALSE)=0,"",IF(HLOOKUP(D$54,$B$96:$AB$108,7,FALSE)&gt;0,HLOOKUP(D$54,$B$96:$AB$108,7,FALSE))),"")</f>
        <v/>
      </c>
      <c r="E62" s="113" t="str">
        <f t="shared" si="14"/>
        <v/>
      </c>
      <c r="F62" s="113" t="str">
        <f t="shared" si="14"/>
        <v/>
      </c>
      <c r="G62" s="113" t="str">
        <f t="shared" si="14"/>
        <v/>
      </c>
      <c r="H62" s="113" t="str">
        <f t="shared" si="14"/>
        <v/>
      </c>
      <c r="I62" s="113" t="str">
        <f t="shared" si="14"/>
        <v/>
      </c>
      <c r="J62" s="113" t="str">
        <f t="shared" si="14"/>
        <v/>
      </c>
      <c r="K62" s="113" t="str">
        <f t="shared" si="14"/>
        <v/>
      </c>
      <c r="L62" s="114">
        <f t="shared" si="9"/>
        <v>0</v>
      </c>
      <c r="M62" s="115" t="s">
        <v>40</v>
      </c>
      <c r="N62" s="116">
        <f>F10</f>
        <v>0</v>
      </c>
      <c r="O62" s="77"/>
      <c r="P62" s="2"/>
      <c r="Q62" s="77"/>
      <c r="R62" s="77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79"/>
      <c r="AF62" s="77"/>
      <c r="AG62" s="78"/>
      <c r="AH62" s="137"/>
    </row>
    <row r="63" spans="2:34">
      <c r="B63" s="112" t="s">
        <v>12</v>
      </c>
      <c r="C63" s="113" t="str">
        <f>IFERROR(IF(HLOOKUP(C$54,$B$96:$AB$108,8,FALSE)=0,"",IF(HLOOKUP(C$54,$B$96:$AB$108,8,FALSE)&gt;0,HLOOKUP(C$54,$B$96:$AB$108,8,FALSE))),"")</f>
        <v/>
      </c>
      <c r="D63" s="113" t="str">
        <f t="shared" ref="D63:K63" si="15">IFERROR(IF(HLOOKUP(D$54,$B$96:$AB$108,8,FALSE)=0,"",IF(HLOOKUP(D$54,$B$96:$AB$108,8,FALSE)&gt;0,HLOOKUP(D$54,$B$96:$AB$108,8,FALSE))),"")</f>
        <v/>
      </c>
      <c r="E63" s="113" t="str">
        <f t="shared" si="15"/>
        <v/>
      </c>
      <c r="F63" s="113" t="str">
        <f t="shared" si="15"/>
        <v/>
      </c>
      <c r="G63" s="113" t="str">
        <f t="shared" si="15"/>
        <v/>
      </c>
      <c r="H63" s="113" t="str">
        <f t="shared" si="15"/>
        <v/>
      </c>
      <c r="I63" s="113" t="str">
        <f t="shared" si="15"/>
        <v/>
      </c>
      <c r="J63" s="113" t="str">
        <f t="shared" si="15"/>
        <v/>
      </c>
      <c r="K63" s="113" t="str">
        <f t="shared" si="15"/>
        <v/>
      </c>
      <c r="L63" s="114">
        <f t="shared" si="9"/>
        <v>0</v>
      </c>
      <c r="M63" s="115" t="s">
        <v>40</v>
      </c>
      <c r="N63" s="116">
        <f>G10</f>
        <v>0</v>
      </c>
      <c r="O63" s="77"/>
      <c r="P63" s="2"/>
      <c r="Q63" s="77"/>
      <c r="R63" s="77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79"/>
      <c r="AF63" s="77"/>
      <c r="AG63" s="78"/>
      <c r="AH63" s="137"/>
    </row>
    <row r="64" spans="2:34">
      <c r="B64" s="117" t="s">
        <v>13</v>
      </c>
      <c r="C64" s="118">
        <f>IFERROR(IF(HLOOKUP(C$54,$B$96:$AB$108,9,FALSE)=0,"",IF(HLOOKUP(C$54,$B$96:$AB$108,9,FALSE)&gt;0,HLOOKUP(C$54,$B$96:$AB$108,9,FALSE))),"")</f>
        <v>0.21579999999999999</v>
      </c>
      <c r="D64" s="118" t="str">
        <f t="shared" ref="D64:K64" si="16">IFERROR(IF(HLOOKUP(D$54,$B$96:$AB$108,9,FALSE)=0,"",IF(HLOOKUP(D$54,$B$96:$AB$108,9,FALSE)&gt;0,HLOOKUP(D$54,$B$96:$AB$108,9,FALSE))),"")</f>
        <v/>
      </c>
      <c r="E64" s="118" t="str">
        <f t="shared" si="16"/>
        <v/>
      </c>
      <c r="F64" s="118" t="str">
        <f t="shared" si="16"/>
        <v/>
      </c>
      <c r="G64" s="118" t="str">
        <f t="shared" si="16"/>
        <v/>
      </c>
      <c r="H64" s="118" t="str">
        <f t="shared" si="16"/>
        <v/>
      </c>
      <c r="I64" s="118" t="str">
        <f t="shared" si="16"/>
        <v/>
      </c>
      <c r="J64" s="118" t="str">
        <f t="shared" si="16"/>
        <v/>
      </c>
      <c r="K64" s="118" t="str">
        <f t="shared" si="16"/>
        <v/>
      </c>
      <c r="L64" s="119">
        <f t="shared" si="9"/>
        <v>42.833648393194707</v>
      </c>
      <c r="M64" s="120" t="s">
        <v>40</v>
      </c>
      <c r="N64" s="121">
        <v>0</v>
      </c>
      <c r="O64" s="77"/>
      <c r="P64" s="2"/>
      <c r="Q64" s="77"/>
      <c r="R64" s="77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79"/>
      <c r="AF64" s="77"/>
      <c r="AG64" s="78"/>
      <c r="AH64" s="137"/>
    </row>
    <row r="65" spans="2:34">
      <c r="B65" s="122" t="s">
        <v>14</v>
      </c>
      <c r="C65" s="123">
        <f>IFERROR(IF(HLOOKUP(C$54,$B$96:$AB$108,10,FALSE)=0,"",IF(HLOOKUP(C$54,$B$96:$AB$108,10,FALSE)&gt;0,HLOOKUP(C$54,$B$96:$AB$108,10,FALSE))),"")</f>
        <v>0.03</v>
      </c>
      <c r="D65" s="123" t="str">
        <f t="shared" ref="D65:K65" si="17">IFERROR(IF(HLOOKUP(D$54,$B$96:$AB$108,10,FALSE)=0,"",IF(HLOOKUP(D$54,$B$96:$AB$108,10,FALSE)&gt;0,HLOOKUP(D$54,$B$96:$AB$108,10,FALSE))),"")</f>
        <v/>
      </c>
      <c r="E65" s="123" t="str">
        <f t="shared" si="17"/>
        <v/>
      </c>
      <c r="F65" s="123" t="str">
        <f t="shared" si="17"/>
        <v/>
      </c>
      <c r="G65" s="123" t="str">
        <f t="shared" si="17"/>
        <v/>
      </c>
      <c r="H65" s="123" t="str">
        <f t="shared" si="17"/>
        <v/>
      </c>
      <c r="I65" s="123" t="str">
        <f t="shared" si="17"/>
        <v/>
      </c>
      <c r="J65" s="123" t="str">
        <f t="shared" si="17"/>
        <v/>
      </c>
      <c r="K65" s="123" t="str">
        <f t="shared" si="17"/>
        <v/>
      </c>
      <c r="L65" s="124">
        <f t="shared" si="9"/>
        <v>5.9546313799621924</v>
      </c>
      <c r="M65" s="125" t="s">
        <v>40</v>
      </c>
      <c r="N65" s="126">
        <f>H10</f>
        <v>0</v>
      </c>
      <c r="O65" s="77"/>
      <c r="P65" s="2"/>
      <c r="Q65" s="77"/>
      <c r="R65" s="77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79"/>
      <c r="AF65" s="79"/>
      <c r="AG65" s="78"/>
      <c r="AH65" s="137"/>
    </row>
    <row r="66" spans="2:34">
      <c r="B66" s="127" t="s">
        <v>38</v>
      </c>
      <c r="C66" s="128" t="str">
        <f>IFERROR(IF(HLOOKUP(C$54,$B$96:$AB$108,11,FALSE)=0,"",IF(HLOOKUP(C$54,$B$96:$AB$108,11,FALSE)&gt;0,HLOOKUP(C$54,$B$96:$AB$108,11,FALSE))),"")</f>
        <v/>
      </c>
      <c r="D66" s="128" t="str">
        <f t="shared" ref="D66:K66" si="18">IFERROR(IF(HLOOKUP(D$54,$B$96:$AB$108,11,FALSE)=0,"",IF(HLOOKUP(D$54,$B$96:$AB$108,11,FALSE)&gt;0,HLOOKUP(D$54,$B$96:$AB$108,11,FALSE))),"")</f>
        <v/>
      </c>
      <c r="E66" s="128" t="str">
        <f t="shared" si="18"/>
        <v/>
      </c>
      <c r="F66" s="128" t="str">
        <f t="shared" si="18"/>
        <v/>
      </c>
      <c r="G66" s="128" t="str">
        <f t="shared" si="18"/>
        <v/>
      </c>
      <c r="H66" s="128" t="str">
        <f t="shared" si="18"/>
        <v/>
      </c>
      <c r="I66" s="128" t="str">
        <f t="shared" si="18"/>
        <v/>
      </c>
      <c r="J66" s="128" t="str">
        <f t="shared" si="18"/>
        <v/>
      </c>
      <c r="K66" s="128" t="str">
        <f t="shared" si="18"/>
        <v/>
      </c>
      <c r="L66" s="124">
        <f t="shared" si="9"/>
        <v>0</v>
      </c>
      <c r="M66" s="125" t="s">
        <v>40</v>
      </c>
      <c r="N66" s="126">
        <f>I10</f>
        <v>0</v>
      </c>
      <c r="O66" s="77"/>
      <c r="P66" s="2"/>
      <c r="Q66" s="77"/>
      <c r="R66" s="77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79"/>
      <c r="AF66" s="79"/>
      <c r="AG66" s="78"/>
      <c r="AH66" s="137"/>
    </row>
    <row r="67" spans="2:34" s="283" customFormat="1" ht="15.6">
      <c r="B67" s="277" t="s">
        <v>101</v>
      </c>
      <c r="C67" s="278">
        <f>IFERROR(IF(HLOOKUP(C$54,$B$96:$AB$109,14,FALSE)=0,"",IF(HLOOKUP(C$54,$B$96:$AB$109,14,FALSE)&gt;0,HLOOKUP(C$54,$B$96:$AB$109,14,FALSE))),"")</f>
        <v>74.400000000000006</v>
      </c>
      <c r="D67" s="278">
        <f t="shared" ref="D67:K67" si="19">IFERROR(IF(HLOOKUP(D$54,$B$96:$AB$109,14,FALSE)=0,"",IF(HLOOKUP(D$54,$B$96:$AB$109,14,FALSE)&gt;0,HLOOKUP(D$54,$B$96:$AB$109,14,FALSE))),"")</f>
        <v>29.2</v>
      </c>
      <c r="E67" s="278">
        <f t="shared" si="19"/>
        <v>129.5</v>
      </c>
      <c r="F67" s="278">
        <f t="shared" si="19"/>
        <v>44</v>
      </c>
      <c r="G67" s="278" t="str">
        <f t="shared" si="19"/>
        <v/>
      </c>
      <c r="H67" s="278" t="str">
        <f t="shared" si="19"/>
        <v/>
      </c>
      <c r="I67" s="278" t="str">
        <f t="shared" si="19"/>
        <v/>
      </c>
      <c r="J67" s="278" t="str">
        <f t="shared" si="19"/>
        <v/>
      </c>
      <c r="K67" s="278" t="str">
        <f t="shared" si="19"/>
        <v/>
      </c>
      <c r="L67" s="278">
        <f t="shared" si="9"/>
        <v>56664.224952741031</v>
      </c>
      <c r="M67" s="279"/>
      <c r="N67" s="280"/>
      <c r="O67" s="281"/>
      <c r="P67" s="282"/>
      <c r="Q67" s="281"/>
      <c r="R67" s="281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79"/>
      <c r="AF67" s="281"/>
      <c r="AG67" s="298"/>
      <c r="AH67" s="317"/>
    </row>
    <row r="68" spans="2:34" ht="15.6">
      <c r="B68" s="301" t="s">
        <v>106</v>
      </c>
      <c r="C68" s="304">
        <f>IFERROR(IF(HLOOKUP(C$54,$B$96:$AB$110,15,FALSE)=0,"",IF(HLOOKUP(C$54,$B$96:$AB$110,15,FALSE)&gt;0,HLOOKUP(C$54,$B$96:$AB$110,15,FALSE))),"")</f>
        <v>1800</v>
      </c>
      <c r="D68" s="304">
        <f t="shared" ref="D68:K68" si="20">IFERROR(IF(HLOOKUP(D$54,$B$96:$AB$110,15,FALSE)=0,"",IF(HLOOKUP(D$54,$B$96:$AB$110,15,FALSE)&gt;0,HLOOKUP(D$54,$B$96:$AB$110,15,FALSE))),"")</f>
        <v>800</v>
      </c>
      <c r="E68" s="304">
        <f t="shared" si="20"/>
        <v>350</v>
      </c>
      <c r="F68" s="304">
        <f t="shared" si="20"/>
        <v>118</v>
      </c>
      <c r="G68" s="304" t="str">
        <f t="shared" si="20"/>
        <v/>
      </c>
      <c r="H68" s="304" t="str">
        <f t="shared" si="20"/>
        <v/>
      </c>
      <c r="I68" s="304" t="str">
        <f t="shared" si="20"/>
        <v/>
      </c>
      <c r="J68" s="304" t="str">
        <f t="shared" si="20"/>
        <v/>
      </c>
      <c r="K68" s="304" t="str">
        <f t="shared" si="20"/>
        <v/>
      </c>
      <c r="L68" s="304">
        <f t="shared" si="9"/>
        <v>705647.44801512291</v>
      </c>
      <c r="M68" s="305"/>
      <c r="N68" s="305"/>
      <c r="O68" s="77"/>
      <c r="P68" s="2"/>
      <c r="Q68" s="77"/>
      <c r="R68" s="77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79"/>
      <c r="AF68" s="77"/>
      <c r="AG68" s="78"/>
      <c r="AH68" s="137"/>
    </row>
    <row r="69" spans="2:34">
      <c r="B69" s="78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79"/>
      <c r="O69" s="77"/>
      <c r="P69" s="2"/>
      <c r="Q69" s="77"/>
      <c r="R69" s="77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79"/>
      <c r="AF69" s="77"/>
      <c r="AG69" s="78"/>
      <c r="AH69" s="137"/>
    </row>
    <row r="70" spans="2:34">
      <c r="B70" s="86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8"/>
      <c r="O70" s="77"/>
      <c r="P70" s="2"/>
      <c r="Q70" s="77"/>
      <c r="R70" s="77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79"/>
      <c r="AF70" s="77"/>
      <c r="AG70" s="78"/>
      <c r="AH70" s="137"/>
    </row>
    <row r="71" spans="2:34" ht="25.5" customHeight="1">
      <c r="B71" s="130"/>
      <c r="C71" s="131" t="str">
        <f t="shared" ref="C71:K71" si="21">IF(B23="","",B23)</f>
        <v>POLY4</v>
      </c>
      <c r="D71" s="131" t="str">
        <f t="shared" si="21"/>
        <v>Urea</v>
      </c>
      <c r="E71" s="131" t="str">
        <f t="shared" si="21"/>
        <v>DAP</v>
      </c>
      <c r="F71" s="131" t="str">
        <f t="shared" si="21"/>
        <v>MOP</v>
      </c>
      <c r="G71" s="131" t="str">
        <f t="shared" si="21"/>
        <v>Filler</v>
      </c>
      <c r="H71" s="131" t="str">
        <f t="shared" si="21"/>
        <v/>
      </c>
      <c r="I71" s="131" t="str">
        <f t="shared" si="21"/>
        <v/>
      </c>
      <c r="J71" s="131" t="str">
        <f t="shared" si="21"/>
        <v/>
      </c>
      <c r="K71" s="131" t="str">
        <f t="shared" si="21"/>
        <v/>
      </c>
      <c r="L71" s="132"/>
      <c r="M71" s="205"/>
      <c r="N71" s="205">
        <v>0</v>
      </c>
      <c r="O71" s="77"/>
      <c r="P71" s="2"/>
      <c r="Q71" s="77"/>
      <c r="R71" s="77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79"/>
      <c r="AF71" s="77"/>
      <c r="AG71" s="78"/>
      <c r="AH71" s="137"/>
    </row>
    <row r="72" spans="2:34">
      <c r="B72" s="99"/>
      <c r="C72" s="407">
        <v>260</v>
      </c>
      <c r="D72" s="407">
        <v>198.48771266540643</v>
      </c>
      <c r="E72" s="407">
        <v>326.08695652173913</v>
      </c>
      <c r="F72" s="407">
        <v>189.06906931809712</v>
      </c>
      <c r="G72" s="407">
        <v>26.356261494757319</v>
      </c>
      <c r="H72" s="407">
        <v>0</v>
      </c>
      <c r="I72" s="407">
        <v>0</v>
      </c>
      <c r="J72" s="407">
        <v>0</v>
      </c>
      <c r="K72" s="407">
        <v>0</v>
      </c>
      <c r="L72" s="408"/>
      <c r="M72" s="409"/>
      <c r="N72" s="410">
        <f>SUM(C72:K72)</f>
        <v>1000</v>
      </c>
      <c r="O72" s="77"/>
      <c r="P72" s="2"/>
      <c r="Q72" s="77"/>
      <c r="R72" s="77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79"/>
      <c r="AF72" s="77"/>
      <c r="AG72" s="78"/>
      <c r="AH72" s="137"/>
    </row>
    <row r="73" spans="2:34">
      <c r="B73" s="99"/>
      <c r="C73" s="102">
        <f t="shared" ref="C73:K73" si="22">IF(B24="","",B24)</f>
        <v>0.2</v>
      </c>
      <c r="D73" s="102">
        <f t="shared" si="22"/>
        <v>0.22</v>
      </c>
      <c r="E73" s="102">
        <f t="shared" si="22"/>
        <v>0.39</v>
      </c>
      <c r="F73" s="102">
        <f t="shared" si="22"/>
        <v>0.26</v>
      </c>
      <c r="G73" s="102">
        <f t="shared" si="22"/>
        <v>0</v>
      </c>
      <c r="H73" s="102" t="str">
        <f t="shared" si="22"/>
        <v/>
      </c>
      <c r="I73" s="102" t="str">
        <f t="shared" si="22"/>
        <v/>
      </c>
      <c r="J73" s="102" t="str">
        <f t="shared" si="22"/>
        <v/>
      </c>
      <c r="K73" s="102" t="str">
        <f t="shared" si="22"/>
        <v/>
      </c>
      <c r="L73" s="100"/>
      <c r="M73" s="206"/>
      <c r="N73" s="207">
        <f>SUMPRODUCT(C72:K72,C73:K73)</f>
        <v>271.99916785257295</v>
      </c>
      <c r="O73" s="77"/>
      <c r="P73" s="2"/>
      <c r="Q73" s="77"/>
      <c r="R73" s="77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79"/>
      <c r="AF73" s="77"/>
      <c r="AG73" s="78"/>
      <c r="AH73" s="137"/>
    </row>
    <row r="74" spans="2:34">
      <c r="B74" s="99"/>
      <c r="C74" s="104">
        <f>IFERROR(IF(HLOOKUP(C$71,$B$96:$AB$108,2,FALSE)=0,"",IF(HLOOKUP(C$71,$B$96:$AB$108,2,FALSE)&gt;0,HLOOKUP(C$71,$B$96:$AB$108,2,FALSE))),"")</f>
        <v>1</v>
      </c>
      <c r="D74" s="104">
        <f t="shared" ref="D74:K74" si="23">IFERROR(IF(HLOOKUP(D$71,$B$96:$AB$108,2,FALSE)=0,"",IF(HLOOKUP(D$71,$B$96:$AB$108,2,FALSE)&gt;0,HLOOKUP(D$71,$B$96:$AB$108,2,FALSE))),"")</f>
        <v>1</v>
      </c>
      <c r="E74" s="104">
        <f t="shared" si="23"/>
        <v>1</v>
      </c>
      <c r="F74" s="104">
        <f t="shared" si="23"/>
        <v>1</v>
      </c>
      <c r="G74" s="104">
        <f t="shared" si="23"/>
        <v>1</v>
      </c>
      <c r="H74" s="104" t="str">
        <f t="shared" si="23"/>
        <v/>
      </c>
      <c r="I74" s="104" t="str">
        <f t="shared" si="23"/>
        <v/>
      </c>
      <c r="J74" s="104" t="str">
        <f t="shared" si="23"/>
        <v/>
      </c>
      <c r="K74" s="104" t="str">
        <f t="shared" si="23"/>
        <v/>
      </c>
      <c r="L74" s="193">
        <f>SUMPRODUCT($C$72:$K$72,C74:K74)</f>
        <v>1000</v>
      </c>
      <c r="M74" s="208" t="s">
        <v>39</v>
      </c>
      <c r="N74" s="209">
        <f>N27</f>
        <v>1000</v>
      </c>
      <c r="O74" s="77"/>
      <c r="P74" s="2"/>
      <c r="Q74" s="77"/>
      <c r="R74" s="77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79"/>
      <c r="AF74" s="77"/>
      <c r="AG74" s="78"/>
      <c r="AH74" s="137"/>
    </row>
    <row r="75" spans="2:34">
      <c r="B75" s="107" t="s">
        <v>80</v>
      </c>
      <c r="C75" s="108" t="str">
        <f>IFERROR(IF(HLOOKUP(C$71,$B$96:$AB$108,3,FALSE)=0,"",IF(HLOOKUP(C$71,$B$96:$AB$108,3,FALSE)&gt;0,HLOOKUP(C$71,$B$96:$AB$107,3,FALSE))),"")</f>
        <v/>
      </c>
      <c r="D75" s="108" t="str">
        <f t="shared" ref="D75:K75" si="24">IFERROR(IF(HLOOKUP(D$71,$B$96:$AB$108,3,FALSE)=0,"",IF(HLOOKUP(D$71,$B$96:$AB$108,3,FALSE)&gt;0,HLOOKUP(D$71,$B$96:$AB$107,3,FALSE))),"")</f>
        <v/>
      </c>
      <c r="E75" s="108">
        <f t="shared" si="24"/>
        <v>0.28000000000000003</v>
      </c>
      <c r="F75" s="108" t="str">
        <f t="shared" si="24"/>
        <v/>
      </c>
      <c r="G75" s="108" t="str">
        <f t="shared" si="24"/>
        <v/>
      </c>
      <c r="H75" s="108" t="str">
        <f t="shared" si="24"/>
        <v/>
      </c>
      <c r="I75" s="108" t="str">
        <f t="shared" si="24"/>
        <v/>
      </c>
      <c r="J75" s="108" t="str">
        <f t="shared" si="24"/>
        <v/>
      </c>
      <c r="K75" s="108" t="str">
        <f t="shared" si="24"/>
        <v/>
      </c>
      <c r="L75" s="133">
        <f>SUMPRODUCT($C$72:$K$72,C75:K75)</f>
        <v>91.304347826086968</v>
      </c>
      <c r="M75" s="210" t="s">
        <v>39</v>
      </c>
      <c r="N75" s="211">
        <f>B28</f>
        <v>150</v>
      </c>
      <c r="O75" s="77"/>
      <c r="P75" s="2"/>
      <c r="Q75" s="77"/>
      <c r="R75" s="77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79"/>
      <c r="AF75" s="77"/>
      <c r="AG75" s="78"/>
      <c r="AH75" s="137"/>
    </row>
    <row r="76" spans="2:34">
      <c r="B76" s="107" t="s">
        <v>81</v>
      </c>
      <c r="C76" s="108" t="str">
        <f>IFERROR(IF(HLOOKUP(C$71,$B$96:$AB$108,4,FALSE)=0,"",IF(HLOOKUP(C$71,$B$96:$AB$108,4,FALSE)&gt;0,HLOOKUP(C$71,$B$96:$AB$108,4,FALSE))),"")</f>
        <v/>
      </c>
      <c r="D76" s="108">
        <f t="shared" ref="D76:K76" si="25">IFERROR(IF(HLOOKUP(D$71,$B$96:$AB$108,4,FALSE)=0,"",IF(HLOOKUP(D$71,$B$96:$AB$108,4,FALSE)&gt;0,HLOOKUP(D$71,$B$96:$AB$108,4,FALSE))),"")</f>
        <v>0.18</v>
      </c>
      <c r="E76" s="108" t="str">
        <f t="shared" si="25"/>
        <v/>
      </c>
      <c r="F76" s="108" t="str">
        <f t="shared" si="25"/>
        <v/>
      </c>
      <c r="G76" s="108" t="str">
        <f t="shared" si="25"/>
        <v/>
      </c>
      <c r="H76" s="108" t="str">
        <f t="shared" si="25"/>
        <v/>
      </c>
      <c r="I76" s="108" t="str">
        <f t="shared" si="25"/>
        <v/>
      </c>
      <c r="J76" s="108" t="str">
        <f t="shared" si="25"/>
        <v/>
      </c>
      <c r="K76" s="108" t="str">
        <f t="shared" si="25"/>
        <v/>
      </c>
      <c r="L76" s="133">
        <f t="shared" ref="L76:L83" si="26">SUMPRODUCT($C$72:$K$72,C76:K76)</f>
        <v>35.727788279773158</v>
      </c>
      <c r="M76" s="210" t="s">
        <v>39</v>
      </c>
      <c r="N76" s="211">
        <f>C28</f>
        <v>150</v>
      </c>
      <c r="O76" s="77"/>
      <c r="P76" s="2"/>
      <c r="Q76" s="77"/>
      <c r="R76" s="77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79"/>
      <c r="AF76" s="79"/>
      <c r="AG76" s="78"/>
      <c r="AH76" s="137"/>
    </row>
    <row r="77" spans="2:34">
      <c r="B77" s="107" t="s">
        <v>82</v>
      </c>
      <c r="C77" s="108" t="str">
        <f>IFERROR(IF(HLOOKUP(C$71,$B$96:$AB$108,5,FALSE)=0,"",IF(HLOOKUP(C$71,$B$96:$AB$108,5,FALSE)&gt;0,HLOOKUP(C$71,$B$96:$AB$108,5,FALSE))),"")</f>
        <v/>
      </c>
      <c r="D77" s="108">
        <f t="shared" ref="D77:K77" si="27">IFERROR(IF(HLOOKUP(D$71,$B$96:$AB$108,5,FALSE)=0,"",IF(HLOOKUP(D$71,$B$96:$AB$108,5,FALSE)&gt;0,HLOOKUP(D$71,$B$96:$AB$108,5,FALSE))),"")</f>
        <v>0.25</v>
      </c>
      <c r="E77" s="108" t="str">
        <f t="shared" si="27"/>
        <v/>
      </c>
      <c r="F77" s="108" t="str">
        <f t="shared" si="27"/>
        <v/>
      </c>
      <c r="G77" s="108" t="str">
        <f t="shared" si="27"/>
        <v/>
      </c>
      <c r="H77" s="108" t="str">
        <f t="shared" si="27"/>
        <v/>
      </c>
      <c r="I77" s="108" t="str">
        <f t="shared" si="27"/>
        <v/>
      </c>
      <c r="J77" s="108" t="str">
        <f t="shared" si="27"/>
        <v/>
      </c>
      <c r="K77" s="108" t="str">
        <f t="shared" si="27"/>
        <v/>
      </c>
      <c r="L77" s="133">
        <f t="shared" si="26"/>
        <v>49.621928166351609</v>
      </c>
      <c r="M77" s="210" t="s">
        <v>39</v>
      </c>
      <c r="N77" s="211">
        <f>D28</f>
        <v>150</v>
      </c>
      <c r="O77" s="77"/>
      <c r="P77" s="2"/>
      <c r="Q77" s="77"/>
      <c r="R77" s="77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79"/>
      <c r="AF77" s="79"/>
      <c r="AG77" s="78"/>
      <c r="AH77" s="137"/>
    </row>
    <row r="78" spans="2:34">
      <c r="B78" s="112" t="s">
        <v>83</v>
      </c>
      <c r="C78" s="113" t="str">
        <f>IFERROR(IF(HLOOKUP(C$71,$B$96:$AB$108,6,FALSE)=0,"",IF(HLOOKUP(C$71,$B$96:$AB$108,6,FALSE)&gt;0,HLOOKUP(C$71,$B$96:$AB$108,6,FALSE))),"")</f>
        <v/>
      </c>
      <c r="D78" s="113" t="str">
        <f t="shared" ref="D78:K78" si="28">IFERROR(IF(HLOOKUP(D$71,$B$96:$AB$108,6,FALSE)=0,"",IF(HLOOKUP(D$71,$B$96:$AB$108,6,FALSE)&gt;0,HLOOKUP(D$71,$B$96:$AB$108,6,FALSE))),"")</f>
        <v/>
      </c>
      <c r="E78" s="113">
        <f t="shared" si="28"/>
        <v>0.18</v>
      </c>
      <c r="F78" s="113" t="str">
        <f t="shared" si="28"/>
        <v/>
      </c>
      <c r="G78" s="113" t="str">
        <f t="shared" si="28"/>
        <v/>
      </c>
      <c r="H78" s="113" t="str">
        <f t="shared" si="28"/>
        <v/>
      </c>
      <c r="I78" s="113" t="str">
        <f t="shared" si="28"/>
        <v/>
      </c>
      <c r="J78" s="113" t="str">
        <f t="shared" si="28"/>
        <v/>
      </c>
      <c r="K78" s="113" t="str">
        <f t="shared" si="28"/>
        <v/>
      </c>
      <c r="L78" s="114">
        <f t="shared" si="26"/>
        <v>58.695652173913039</v>
      </c>
      <c r="M78" s="212" t="s">
        <v>40</v>
      </c>
      <c r="N78" s="213">
        <f>E28</f>
        <v>0</v>
      </c>
      <c r="O78" s="77"/>
      <c r="P78" s="2"/>
      <c r="Q78" s="77"/>
      <c r="R78" s="77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79"/>
      <c r="AF78" s="79"/>
      <c r="AG78" s="78"/>
      <c r="AH78" s="137"/>
    </row>
    <row r="79" spans="2:34">
      <c r="B79" s="112" t="s">
        <v>11</v>
      </c>
      <c r="C79" s="113">
        <f>IFERROR(IF(HLOOKUP(C$71,$B$96:$AB$108,7,FALSE)=0,"",IF(HLOOKUP(C$71,$B$96:$AB$108,7,FALSE)&gt;0,HLOOKUP(C$71,$B$96:$AB$108,7,FALSE))),"")</f>
        <v>0.26</v>
      </c>
      <c r="D79" s="113" t="str">
        <f t="shared" ref="D79:K79" si="29">IFERROR(IF(HLOOKUP(D$71,$B$96:$AB$108,7,FALSE)=0,"",IF(HLOOKUP(D$71,$B$96:$AB$108,7,FALSE)&gt;0,HLOOKUP(D$71,$B$96:$AB$108,7,FALSE))),"")</f>
        <v/>
      </c>
      <c r="E79" s="113" t="str">
        <f t="shared" si="29"/>
        <v/>
      </c>
      <c r="F79" s="113" t="str">
        <f t="shared" si="29"/>
        <v/>
      </c>
      <c r="G79" s="113" t="str">
        <f t="shared" si="29"/>
        <v/>
      </c>
      <c r="H79" s="113" t="str">
        <f t="shared" si="29"/>
        <v/>
      </c>
      <c r="I79" s="113" t="str">
        <f t="shared" si="29"/>
        <v/>
      </c>
      <c r="J79" s="113" t="str">
        <f t="shared" si="29"/>
        <v/>
      </c>
      <c r="K79" s="113" t="str">
        <f t="shared" si="29"/>
        <v/>
      </c>
      <c r="L79" s="114">
        <f t="shared" si="26"/>
        <v>67.600000000000009</v>
      </c>
      <c r="M79" s="212" t="s">
        <v>40</v>
      </c>
      <c r="N79" s="213">
        <f>F28</f>
        <v>0</v>
      </c>
      <c r="O79" s="77"/>
      <c r="P79" s="2"/>
      <c r="Q79" s="77"/>
      <c r="R79" s="77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79"/>
      <c r="AF79" s="79"/>
      <c r="AG79" s="78"/>
      <c r="AH79" s="137"/>
    </row>
    <row r="80" spans="2:34">
      <c r="B80" s="112" t="s">
        <v>12</v>
      </c>
      <c r="C80" s="113">
        <f>IFERROR(IF(HLOOKUP(C$71,$B$96:$AB$108,8,FALSE)=0,"",IF(HLOOKUP(C$71,$B$96:$AB$108,8,FALSE)&gt;0,HLOOKUP(C$71,$B$96:$AB$108,8,FALSE))),"")</f>
        <v>0.13</v>
      </c>
      <c r="D80" s="113" t="str">
        <f t="shared" ref="D80:K80" si="30">IFERROR(IF(HLOOKUP(D$71,$B$96:$AB$108,8,FALSE)=0,"",IF(HLOOKUP(D$71,$B$96:$AB$108,8,FALSE)&gt;0,HLOOKUP(D$71,$B$96:$AB$108,8,FALSE))),"")</f>
        <v/>
      </c>
      <c r="E80" s="113" t="str">
        <f t="shared" si="30"/>
        <v/>
      </c>
      <c r="F80" s="113" t="str">
        <f t="shared" si="30"/>
        <v/>
      </c>
      <c r="G80" s="113" t="str">
        <f t="shared" si="30"/>
        <v/>
      </c>
      <c r="H80" s="113" t="str">
        <f t="shared" si="30"/>
        <v/>
      </c>
      <c r="I80" s="113" t="str">
        <f t="shared" si="30"/>
        <v/>
      </c>
      <c r="J80" s="113" t="str">
        <f t="shared" si="30"/>
        <v/>
      </c>
      <c r="K80" s="113" t="str">
        <f t="shared" si="30"/>
        <v/>
      </c>
      <c r="L80" s="114">
        <f t="shared" si="26"/>
        <v>33.800000000000004</v>
      </c>
      <c r="M80" s="212" t="s">
        <v>40</v>
      </c>
      <c r="N80" s="213">
        <f>G28</f>
        <v>0</v>
      </c>
      <c r="O80" s="77"/>
      <c r="P80" s="2"/>
      <c r="Q80" s="77"/>
      <c r="R80" s="77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79"/>
      <c r="AF80" s="79"/>
      <c r="AG80" s="78"/>
      <c r="AH80" s="137"/>
    </row>
    <row r="81" spans="2:34">
      <c r="B81" s="117" t="s">
        <v>13</v>
      </c>
      <c r="C81" s="118" t="str">
        <f>IFERROR(IF(HLOOKUP(C$71,$B$96:$AB$108,9,FALSE)=0,"",IF(HLOOKUP(C$71,$B$96:$AB$108,9,FALSE)&gt;0,HLOOKUP(C$71,$B$96:$AB$108,9,FALSE))),"")</f>
        <v/>
      </c>
      <c r="D81" s="118">
        <f t="shared" ref="D81:K81" si="31">IFERROR(IF(HLOOKUP(D$71,$B$96:$AB$108,9,FALSE)=0,"",IF(HLOOKUP(D$71,$B$96:$AB$108,9,FALSE)&gt;0,HLOOKUP(D$71,$B$96:$AB$108,9,FALSE))),"")</f>
        <v>0.21579999999999999</v>
      </c>
      <c r="E81" s="118" t="str">
        <f t="shared" si="31"/>
        <v/>
      </c>
      <c r="F81" s="118" t="str">
        <f t="shared" si="31"/>
        <v/>
      </c>
      <c r="G81" s="118" t="str">
        <f t="shared" si="31"/>
        <v/>
      </c>
      <c r="H81" s="118" t="str">
        <f t="shared" si="31"/>
        <v/>
      </c>
      <c r="I81" s="118" t="str">
        <f t="shared" si="31"/>
        <v/>
      </c>
      <c r="J81" s="118" t="str">
        <f t="shared" si="31"/>
        <v/>
      </c>
      <c r="K81" s="118" t="str">
        <f t="shared" si="31"/>
        <v/>
      </c>
      <c r="L81" s="119">
        <f t="shared" si="26"/>
        <v>42.833648393194707</v>
      </c>
      <c r="M81" s="214" t="s">
        <v>40</v>
      </c>
      <c r="N81" s="215">
        <v>0</v>
      </c>
      <c r="O81" s="77"/>
      <c r="P81" s="2"/>
      <c r="Q81" s="77"/>
      <c r="R81" s="77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79"/>
      <c r="AF81" s="79"/>
      <c r="AG81" s="78"/>
      <c r="AH81" s="137"/>
    </row>
    <row r="82" spans="2:34">
      <c r="B82" s="122" t="s">
        <v>14</v>
      </c>
      <c r="C82" s="123" t="str">
        <f>IFERROR(IF(HLOOKUP(C$71,$B$96:$AB$108,10,FALSE)=0,"",IF(HLOOKUP(C$71,$B$96:$AB$108,10,FALSE)&gt;0,HLOOKUP(C$71,$B$96:$AB$108,10,FALSE))),"")</f>
        <v/>
      </c>
      <c r="D82" s="123">
        <f t="shared" ref="D82:K82" si="32">IFERROR(IF(HLOOKUP(D$71,$B$96:$AB$108,10,FALSE)=0,"",IF(HLOOKUP(D$71,$B$96:$AB$108,10,FALSE)&gt;0,HLOOKUP(D$71,$B$96:$AB$108,10,FALSE))),"")</f>
        <v>0.03</v>
      </c>
      <c r="E82" s="123" t="str">
        <f t="shared" si="32"/>
        <v/>
      </c>
      <c r="F82" s="123" t="str">
        <f t="shared" si="32"/>
        <v/>
      </c>
      <c r="G82" s="123" t="str">
        <f t="shared" si="32"/>
        <v/>
      </c>
      <c r="H82" s="123" t="str">
        <f t="shared" si="32"/>
        <v/>
      </c>
      <c r="I82" s="123" t="str">
        <f t="shared" si="32"/>
        <v/>
      </c>
      <c r="J82" s="123" t="str">
        <f t="shared" si="32"/>
        <v/>
      </c>
      <c r="K82" s="123" t="str">
        <f t="shared" si="32"/>
        <v/>
      </c>
      <c r="L82" s="124">
        <f t="shared" si="26"/>
        <v>5.9546313799621924</v>
      </c>
      <c r="M82" s="216" t="s">
        <v>39</v>
      </c>
      <c r="N82" s="217">
        <f>H28</f>
        <v>0</v>
      </c>
      <c r="O82" s="77"/>
      <c r="P82" s="2"/>
      <c r="Q82" s="77"/>
      <c r="R82" s="77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79"/>
      <c r="AF82" s="79"/>
      <c r="AG82" s="78"/>
      <c r="AH82" s="137"/>
    </row>
    <row r="83" spans="2:34">
      <c r="B83" s="218" t="s">
        <v>38</v>
      </c>
      <c r="C83" s="128" t="str">
        <f>IFERROR(IF(HLOOKUP(C$71,$B$96:$AB$108,11,FALSE)=0,"",IF(HLOOKUP(C$71,$B$96:$AB$108,11,FALSE)&gt;0,HLOOKUP(C$71,$B$96:$AB$108,11,FALSE))),"")</f>
        <v/>
      </c>
      <c r="D83" s="128" t="str">
        <f t="shared" ref="D83:K83" si="33">IFERROR(IF(HLOOKUP(D$71,$B$96:$AB$108,11,FALSE)=0,"",IF(HLOOKUP(D$71,$B$96:$AB$108,11,FALSE)&gt;0,HLOOKUP(D$71,$B$96:$AB$108,11,FALSE))),"")</f>
        <v/>
      </c>
      <c r="E83" s="128" t="str">
        <f t="shared" si="33"/>
        <v/>
      </c>
      <c r="F83" s="128" t="str">
        <f t="shared" si="33"/>
        <v/>
      </c>
      <c r="G83" s="128" t="str">
        <f t="shared" si="33"/>
        <v/>
      </c>
      <c r="H83" s="128" t="str">
        <f t="shared" si="33"/>
        <v/>
      </c>
      <c r="I83" s="128" t="str">
        <f t="shared" si="33"/>
        <v/>
      </c>
      <c r="J83" s="128" t="str">
        <f t="shared" si="33"/>
        <v/>
      </c>
      <c r="K83" s="128" t="str">
        <f t="shared" si="33"/>
        <v/>
      </c>
      <c r="L83" s="124">
        <f t="shared" si="26"/>
        <v>0</v>
      </c>
      <c r="M83" s="216" t="s">
        <v>39</v>
      </c>
      <c r="N83" s="217">
        <f>I28</f>
        <v>0</v>
      </c>
      <c r="O83" s="77"/>
      <c r="P83" s="2"/>
      <c r="Q83" s="77"/>
      <c r="R83" s="77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79"/>
      <c r="AF83" s="79"/>
      <c r="AG83" s="78"/>
      <c r="AH83" s="137"/>
    </row>
    <row r="84" spans="2:34">
      <c r="B84" s="219" t="s">
        <v>9</v>
      </c>
      <c r="C84" s="134">
        <f>IFERROR(IF(HLOOKUP(C$71,$B$96:$AB$108,13,FALSE)=0,"",IF(HLOOKUP(C$71,$B$96:$AB$108,13,FALSE)&gt;0,HLOOKUP(C$71,$B$96:$AB$108,13,FALSE))),"")</f>
        <v>1</v>
      </c>
      <c r="D84" s="134" t="str">
        <f t="shared" ref="D84:K84" si="34">IFERROR(IF(HLOOKUP(D$71,$B$96:$AB$108,13,FALSE)=0,"",IF(HLOOKUP(D$71,$B$96:$AB$108,13,FALSE)&gt;0,HLOOKUP(D$71,$B$96:$AB$108,13,FALSE))),"")</f>
        <v/>
      </c>
      <c r="E84" s="134" t="str">
        <f t="shared" si="34"/>
        <v/>
      </c>
      <c r="F84" s="134" t="str">
        <f t="shared" si="34"/>
        <v/>
      </c>
      <c r="G84" s="134" t="str">
        <f t="shared" si="34"/>
        <v/>
      </c>
      <c r="H84" s="134" t="str">
        <f t="shared" si="34"/>
        <v/>
      </c>
      <c r="I84" s="134" t="str">
        <f t="shared" si="34"/>
        <v/>
      </c>
      <c r="J84" s="134" t="str">
        <f t="shared" si="34"/>
        <v/>
      </c>
      <c r="K84" s="134" t="str">
        <f t="shared" si="34"/>
        <v/>
      </c>
      <c r="L84" s="187">
        <f>SUMPRODUCT($C$72:$K$72,C84:K84)</f>
        <v>260</v>
      </c>
      <c r="M84" s="220" t="s">
        <v>39</v>
      </c>
      <c r="N84" s="221">
        <v>260</v>
      </c>
      <c r="O84" s="85"/>
      <c r="P84" s="87"/>
      <c r="Q84" s="85"/>
      <c r="R84" s="85"/>
      <c r="S84" s="87"/>
      <c r="T84" s="87"/>
      <c r="U84" s="87"/>
      <c r="V84" s="87"/>
      <c r="W84" s="87"/>
      <c r="X84" s="87"/>
      <c r="Y84" s="87"/>
      <c r="Z84" s="87"/>
      <c r="AA84" s="87"/>
      <c r="AB84" s="87"/>
      <c r="AC84" s="87"/>
      <c r="AD84" s="87"/>
      <c r="AE84" s="88"/>
      <c r="AF84" s="79"/>
      <c r="AG84" s="78"/>
      <c r="AH84" s="137"/>
    </row>
    <row r="85" spans="2:34" s="288" customFormat="1" ht="15.6">
      <c r="B85" s="277" t="s">
        <v>101</v>
      </c>
      <c r="C85" s="289">
        <f>IFERROR(IF(HLOOKUP(C$71,$B$96:$AB$109,14,FALSE)=0,"",IF(HLOOKUP(C$71,$B$96:$AB$109,14,FALSE)&gt;0,HLOOKUP(C$71,$B$96:$AB$109,14,FALSE))),"")</f>
        <v>76</v>
      </c>
      <c r="D85" s="289">
        <f t="shared" ref="D85:K85" si="35">IFERROR(IF(HLOOKUP(D$71,$B$96:$AB$109,14,FALSE)=0,"",IF(HLOOKUP(D$71,$B$96:$AB$109,14,FALSE)&gt;0,HLOOKUP(D$71,$B$96:$AB$109,14,FALSE))),"")</f>
        <v>74.400000000000006</v>
      </c>
      <c r="E85" s="289">
        <f t="shared" si="35"/>
        <v>29.2</v>
      </c>
      <c r="F85" s="289">
        <f t="shared" si="35"/>
        <v>129.5</v>
      </c>
      <c r="G85" s="289" t="str">
        <f t="shared" si="35"/>
        <v/>
      </c>
      <c r="H85" s="289" t="str">
        <f t="shared" si="35"/>
        <v/>
      </c>
      <c r="I85" s="289" t="str">
        <f t="shared" si="35"/>
        <v/>
      </c>
      <c r="J85" s="289" t="str">
        <f t="shared" si="35"/>
        <v/>
      </c>
      <c r="K85" s="289" t="str">
        <f t="shared" si="35"/>
        <v/>
      </c>
      <c r="L85" s="290">
        <f>SUMPRODUCT($C$72:$K$72,C85:K85)</f>
        <v>68533.669429434609</v>
      </c>
      <c r="M85" s="289"/>
      <c r="N85" s="289"/>
      <c r="O85" s="284"/>
      <c r="P85" s="285"/>
      <c r="Q85" s="284"/>
      <c r="R85" s="284"/>
      <c r="S85" s="285"/>
      <c r="T85" s="285"/>
      <c r="U85" s="285"/>
      <c r="V85" s="285"/>
      <c r="W85" s="285"/>
      <c r="X85" s="285"/>
      <c r="Y85" s="285"/>
      <c r="Z85" s="285"/>
      <c r="AA85" s="285"/>
      <c r="AB85" s="285"/>
      <c r="AC85" s="285"/>
      <c r="AD85" s="285"/>
      <c r="AE85" s="286"/>
      <c r="AF85" s="287"/>
      <c r="AG85" s="299"/>
      <c r="AH85" s="318"/>
    </row>
    <row r="86" spans="2:34" ht="15.6">
      <c r="B86" s="301" t="s">
        <v>106</v>
      </c>
      <c r="C86" s="302">
        <f>IFERROR(IF(HLOOKUP(C$71,$B$96:$AB$110,15,FALSE)=0,"",IF(HLOOKUP(C$71,$B$96:$AB$110,15,FALSE)&gt;0,HLOOKUP(C$71,$B$96:$AB$110,15,FALSE))),"")</f>
        <v>51</v>
      </c>
      <c r="D86" s="302">
        <f t="shared" ref="D86:K86" si="36">IFERROR(IF(HLOOKUP(D$71,$B$96:$AB$110,15,FALSE)=0,"",IF(HLOOKUP(D$71,$B$96:$AB$110,15,FALSE)&gt;0,HLOOKUP(D$71,$B$96:$AB$110,15,FALSE))),"")</f>
        <v>1800</v>
      </c>
      <c r="E86" s="302">
        <f t="shared" si="36"/>
        <v>800</v>
      </c>
      <c r="F86" s="302">
        <f t="shared" si="36"/>
        <v>350</v>
      </c>
      <c r="G86" s="302" t="str">
        <f t="shared" si="36"/>
        <v/>
      </c>
      <c r="H86" s="302" t="str">
        <f t="shared" si="36"/>
        <v/>
      </c>
      <c r="I86" s="302" t="str">
        <f t="shared" si="36"/>
        <v/>
      </c>
      <c r="J86" s="302" t="str">
        <f t="shared" si="36"/>
        <v/>
      </c>
      <c r="K86" s="302" t="str">
        <f t="shared" si="36"/>
        <v/>
      </c>
      <c r="L86" s="303">
        <f>SUMPRODUCT($C$72:$K$72,C86:K86)</f>
        <v>697581.62227645691</v>
      </c>
      <c r="M86" s="302" t="str">
        <f t="shared" ref="M86:N86" si="37">IFERROR(IF(HLOOKUP(M$71,$B$96:$Z$110,15,FALSE)=0,"",IF(HLOOKUP(M$71,$B$96:$Z$110,15,FALSE)&gt;0,HLOOKUP(M$71,$B$96:$Z$110,15,FALSE))),"")</f>
        <v/>
      </c>
      <c r="N86" s="302" t="str">
        <f t="shared" si="37"/>
        <v/>
      </c>
      <c r="O86" s="101"/>
      <c r="P86" s="275"/>
      <c r="Q86" s="101"/>
      <c r="R86" s="101"/>
      <c r="S86" s="275"/>
      <c r="T86" s="275"/>
      <c r="U86" s="275"/>
      <c r="V86" s="275"/>
      <c r="W86" s="275"/>
      <c r="X86" s="275"/>
      <c r="Y86" s="275"/>
      <c r="Z86" s="275"/>
      <c r="AA86" s="275"/>
      <c r="AB86" s="275"/>
      <c r="AC86" s="275"/>
      <c r="AD86" s="275"/>
      <c r="AE86" s="276"/>
      <c r="AF86" s="79"/>
      <c r="AG86" s="78"/>
      <c r="AH86" s="137"/>
    </row>
    <row r="87" spans="2:34">
      <c r="B87" s="7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79"/>
      <c r="AF87" s="79"/>
      <c r="AG87" s="78"/>
      <c r="AH87" s="137"/>
    </row>
    <row r="88" spans="2:34">
      <c r="B88" s="7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79"/>
      <c r="AF88" s="79"/>
      <c r="AG88" s="78"/>
      <c r="AH88" s="137"/>
    </row>
    <row r="89" spans="2:34">
      <c r="B89" s="78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79"/>
      <c r="AF89" s="79"/>
      <c r="AG89" s="78"/>
      <c r="AH89" s="137"/>
    </row>
    <row r="90" spans="2:34">
      <c r="B90" s="78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79"/>
      <c r="AF90" s="79"/>
      <c r="AG90" s="78"/>
      <c r="AH90" s="137"/>
    </row>
    <row r="91" spans="2:34">
      <c r="B91" s="78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79"/>
      <c r="AF91" s="79"/>
      <c r="AG91" s="78"/>
      <c r="AH91" s="137"/>
    </row>
    <row r="92" spans="2:34">
      <c r="B92" s="78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79"/>
      <c r="AF92" s="79"/>
      <c r="AG92" s="78"/>
      <c r="AH92" s="137"/>
    </row>
    <row r="93" spans="2:34">
      <c r="B93" s="78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79"/>
      <c r="AF93" s="79"/>
      <c r="AG93" s="78"/>
      <c r="AH93" s="137"/>
    </row>
    <row r="94" spans="2:34">
      <c r="B94" s="78"/>
      <c r="C94" s="2"/>
      <c r="D94" s="2"/>
      <c r="E94" s="135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 t="s">
        <v>41</v>
      </c>
      <c r="Y94" s="2"/>
      <c r="Z94" s="2"/>
      <c r="AA94" s="2"/>
      <c r="AB94" s="2"/>
      <c r="AC94" s="2"/>
      <c r="AD94" s="2"/>
      <c r="AE94" s="79"/>
      <c r="AF94" s="79"/>
      <c r="AG94" s="78"/>
      <c r="AH94" s="137"/>
    </row>
    <row r="95" spans="2:34">
      <c r="B95" s="78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79"/>
      <c r="AF95" s="79"/>
      <c r="AG95" s="78"/>
      <c r="AH95" s="137"/>
    </row>
    <row r="96" spans="2:34">
      <c r="B96" s="100" t="s">
        <v>77</v>
      </c>
      <c r="C96" s="136" t="s">
        <v>9</v>
      </c>
      <c r="D96" s="136" t="s">
        <v>78</v>
      </c>
      <c r="E96" s="136" t="s">
        <v>18</v>
      </c>
      <c r="F96" s="136" t="s">
        <v>42</v>
      </c>
      <c r="G96" s="136" t="s">
        <v>79</v>
      </c>
      <c r="H96" s="136" t="s">
        <v>21</v>
      </c>
      <c r="I96" s="136" t="s">
        <v>22</v>
      </c>
      <c r="J96" s="136" t="s">
        <v>23</v>
      </c>
      <c r="K96" s="136" t="s">
        <v>71</v>
      </c>
      <c r="L96" s="136" t="s">
        <v>43</v>
      </c>
      <c r="M96" s="136" t="s">
        <v>26</v>
      </c>
      <c r="N96" s="136" t="s">
        <v>27</v>
      </c>
      <c r="O96" s="136" t="s">
        <v>28</v>
      </c>
      <c r="P96" s="136" t="s">
        <v>29</v>
      </c>
      <c r="Q96" s="136" t="s">
        <v>30</v>
      </c>
      <c r="R96" s="136" t="s">
        <v>31</v>
      </c>
      <c r="S96" s="136" t="s">
        <v>32</v>
      </c>
      <c r="T96" s="136" t="s">
        <v>33</v>
      </c>
      <c r="U96" s="136" t="s">
        <v>34</v>
      </c>
      <c r="V96" s="136" t="s">
        <v>35</v>
      </c>
      <c r="W96" s="136" t="s">
        <v>36</v>
      </c>
      <c r="X96" s="136" t="s">
        <v>37</v>
      </c>
      <c r="Y96" s="136" t="s">
        <v>38</v>
      </c>
      <c r="Z96" s="136" t="s">
        <v>114</v>
      </c>
      <c r="AA96" s="150" t="s">
        <v>116</v>
      </c>
      <c r="AB96" s="101" t="s">
        <v>41</v>
      </c>
      <c r="AC96" s="101"/>
      <c r="AD96" s="101"/>
      <c r="AE96" s="101"/>
      <c r="AF96" s="79"/>
      <c r="AG96" s="78"/>
      <c r="AH96" s="137"/>
    </row>
    <row r="97" spans="2:34" s="138" customFormat="1">
      <c r="B97" s="99"/>
      <c r="C97" s="136">
        <v>1</v>
      </c>
      <c r="D97" s="136">
        <v>1</v>
      </c>
      <c r="E97" s="136">
        <v>1</v>
      </c>
      <c r="F97" s="136">
        <v>1</v>
      </c>
      <c r="G97" s="136">
        <v>1</v>
      </c>
      <c r="H97" s="136">
        <v>1</v>
      </c>
      <c r="I97" s="136">
        <v>1</v>
      </c>
      <c r="J97" s="136">
        <v>1</v>
      </c>
      <c r="K97" s="136">
        <v>1</v>
      </c>
      <c r="L97" s="136">
        <v>1</v>
      </c>
      <c r="M97" s="136">
        <v>1</v>
      </c>
      <c r="N97" s="136">
        <v>1</v>
      </c>
      <c r="O97" s="136">
        <v>1</v>
      </c>
      <c r="P97" s="136">
        <v>1</v>
      </c>
      <c r="Q97" s="136">
        <v>1</v>
      </c>
      <c r="R97" s="136">
        <v>1</v>
      </c>
      <c r="S97" s="136">
        <v>1</v>
      </c>
      <c r="T97" s="136">
        <v>1</v>
      </c>
      <c r="U97" s="136">
        <v>1</v>
      </c>
      <c r="V97" s="136">
        <v>1</v>
      </c>
      <c r="W97" s="136">
        <v>1</v>
      </c>
      <c r="X97" s="136">
        <v>1</v>
      </c>
      <c r="Y97" s="136">
        <v>1</v>
      </c>
      <c r="Z97" s="136">
        <v>1</v>
      </c>
      <c r="AA97" s="150">
        <v>1</v>
      </c>
      <c r="AB97" s="150">
        <v>1</v>
      </c>
      <c r="AC97" s="101"/>
      <c r="AD97" s="101"/>
      <c r="AE97" s="101"/>
      <c r="AF97" s="137"/>
      <c r="AG97" s="152"/>
      <c r="AH97" s="137"/>
    </row>
    <row r="98" spans="2:34">
      <c r="B98" s="139" t="s">
        <v>80</v>
      </c>
      <c r="C98" s="394">
        <f>'NPK LP Model'!C104*0.01</f>
        <v>0</v>
      </c>
      <c r="D98" s="394">
        <f>'NPK LP Model'!D104*0.01</f>
        <v>0.28000000000000003</v>
      </c>
      <c r="E98" s="394">
        <f>'NPK LP Model'!E104*0.01</f>
        <v>0</v>
      </c>
      <c r="F98" s="394">
        <f>'NPK LP Model'!F104*0.01</f>
        <v>0</v>
      </c>
      <c r="G98" s="394">
        <f>'NPK LP Model'!G104*0.01</f>
        <v>0</v>
      </c>
      <c r="H98" s="394">
        <f>'NPK LP Model'!H104*0.01</f>
        <v>0</v>
      </c>
      <c r="I98" s="394">
        <f>'NPK LP Model'!I104*0.01</f>
        <v>0</v>
      </c>
      <c r="J98" s="394">
        <f>'NPK LP Model'!J104*0.01</f>
        <v>0</v>
      </c>
      <c r="K98" s="394">
        <f>'NPK LP Model'!K104*0.01</f>
        <v>0</v>
      </c>
      <c r="L98" s="394">
        <f>'NPK LP Model'!L104*0.01</f>
        <v>0</v>
      </c>
      <c r="M98" s="394">
        <f>'NPK LP Model'!M104*0.01</f>
        <v>0</v>
      </c>
      <c r="N98" s="394">
        <f>'NPK LP Model'!N104*0.01</f>
        <v>0</v>
      </c>
      <c r="O98" s="394">
        <f>'NPK LP Model'!O104*0.01</f>
        <v>0</v>
      </c>
      <c r="P98" s="394">
        <f>'NPK LP Model'!P104*0.01</f>
        <v>0</v>
      </c>
      <c r="Q98" s="394">
        <f>'NPK LP Model'!Q89*0.01</f>
        <v>0</v>
      </c>
      <c r="R98" s="394">
        <f>'NPK LP Model'!R89*0.01</f>
        <v>0</v>
      </c>
      <c r="S98" s="394">
        <f>'NPK LP Model'!S89*0.01</f>
        <v>0</v>
      </c>
      <c r="T98" s="394">
        <f>'NPK LP Model'!T89*0.01</f>
        <v>0</v>
      </c>
      <c r="U98" s="394">
        <f>'NPK LP Model'!U89*0.01</f>
        <v>0</v>
      </c>
      <c r="V98" s="394">
        <f>'NPK LP Model'!V89*0.01</f>
        <v>0</v>
      </c>
      <c r="W98" s="394">
        <f>'NPK LP Model'!W89*0.01</f>
        <v>0</v>
      </c>
      <c r="X98" s="394">
        <f>'NPK LP Model'!X89*0.01</f>
        <v>0</v>
      </c>
      <c r="Y98" s="394">
        <f>'NPK LP Model'!Y89*0.01</f>
        <v>0</v>
      </c>
      <c r="Z98" s="394">
        <f>'NPK LP Model'!Z89*0.01</f>
        <v>0</v>
      </c>
      <c r="AA98" s="394">
        <f>'NPK LP Model'!AA89*0.01</f>
        <v>0</v>
      </c>
      <c r="AB98" s="394">
        <f>'NPK LP Model'!AB89*0.01</f>
        <v>0</v>
      </c>
      <c r="AC98" s="150"/>
      <c r="AD98" s="150"/>
      <c r="AE98" s="150"/>
      <c r="AF98" s="79"/>
      <c r="AG98" s="78"/>
      <c r="AH98" s="137"/>
    </row>
    <row r="99" spans="2:34">
      <c r="B99" s="139" t="s">
        <v>81</v>
      </c>
      <c r="C99" s="394">
        <f>'NPK LP Model'!C105*0.01</f>
        <v>0</v>
      </c>
      <c r="D99" s="394">
        <f>'NPK LP Model'!D105*0.01</f>
        <v>0</v>
      </c>
      <c r="E99" s="394">
        <f>'NPK LP Model'!E105*0.01</f>
        <v>0.22</v>
      </c>
      <c r="F99" s="394">
        <f>'NPK LP Model'!F105*0.01</f>
        <v>0.18</v>
      </c>
      <c r="G99" s="394">
        <f>'NPK LP Model'!G105*0.01</f>
        <v>0.18</v>
      </c>
      <c r="H99" s="394">
        <f>'NPK LP Model'!H105*0.01</f>
        <v>0</v>
      </c>
      <c r="I99" s="394">
        <f>'NPK LP Model'!I105*0.01</f>
        <v>0</v>
      </c>
      <c r="J99" s="394">
        <f>'NPK LP Model'!J105*0.01</f>
        <v>0</v>
      </c>
      <c r="K99" s="394">
        <f>'NPK LP Model'!K105*0.01</f>
        <v>0</v>
      </c>
      <c r="L99" s="394">
        <f>'NPK LP Model'!L105*0.01</f>
        <v>0</v>
      </c>
      <c r="M99" s="394">
        <f>'NPK LP Model'!M105*0.01</f>
        <v>0</v>
      </c>
      <c r="N99" s="394">
        <f>'NPK LP Model'!N105*0.01</f>
        <v>0.80400000000000005</v>
      </c>
      <c r="O99" s="394">
        <f>'NPK LP Model'!O105*0.01</f>
        <v>0</v>
      </c>
      <c r="P99" s="394">
        <f>'NPK LP Model'!P105*0.01</f>
        <v>0</v>
      </c>
      <c r="Q99" s="394">
        <f>'NPK LP Model'!Q90*0.01</f>
        <v>0</v>
      </c>
      <c r="R99" s="394">
        <f>'NPK LP Model'!R90*0.01</f>
        <v>0</v>
      </c>
      <c r="S99" s="394">
        <f>'NPK LP Model'!S90*0.01</f>
        <v>0</v>
      </c>
      <c r="T99" s="394">
        <f>'NPK LP Model'!T90*0.01</f>
        <v>0</v>
      </c>
      <c r="U99" s="394">
        <f>'NPK LP Model'!U90*0.01</f>
        <v>0</v>
      </c>
      <c r="V99" s="394">
        <f>'NPK LP Model'!V90*0.01</f>
        <v>0</v>
      </c>
      <c r="W99" s="394">
        <f>'NPK LP Model'!W90*0.01</f>
        <v>0</v>
      </c>
      <c r="X99" s="394">
        <f>'NPK LP Model'!X90*0.01</f>
        <v>0</v>
      </c>
      <c r="Y99" s="394">
        <f>'NPK LP Model'!Y90*0.01</f>
        <v>0</v>
      </c>
      <c r="Z99" s="394">
        <f>'NPK LP Model'!Z90*0.01</f>
        <v>0</v>
      </c>
      <c r="AA99" s="394">
        <f>'NPK LP Model'!AA90*0.01</f>
        <v>0</v>
      </c>
      <c r="AB99" s="394">
        <f>'NPK LP Model'!AB90*0.01</f>
        <v>0</v>
      </c>
      <c r="AC99" s="150"/>
      <c r="AD99" s="150"/>
      <c r="AE99" s="150"/>
      <c r="AF99" s="79"/>
      <c r="AG99" s="78"/>
      <c r="AH99" s="137"/>
    </row>
    <row r="100" spans="2:34">
      <c r="B100" s="139" t="s">
        <v>82</v>
      </c>
      <c r="C100" s="394">
        <f>'NPK LP Model'!C106*0.01</f>
        <v>0</v>
      </c>
      <c r="D100" s="394">
        <f>'NPK LP Model'!D106*0.01</f>
        <v>0</v>
      </c>
      <c r="E100" s="394">
        <f>'NPK LP Model'!E106*0.01</f>
        <v>0</v>
      </c>
      <c r="F100" s="394">
        <f>'NPK LP Model'!F106*0.01</f>
        <v>0.2</v>
      </c>
      <c r="G100" s="394">
        <f>'NPK LP Model'!G106*0.01</f>
        <v>0.25</v>
      </c>
      <c r="H100" s="394">
        <f>'NPK LP Model'!H106*0.01</f>
        <v>0</v>
      </c>
      <c r="I100" s="394">
        <f>'NPK LP Model'!I106*0.01</f>
        <v>0</v>
      </c>
      <c r="J100" s="394">
        <f>'NPK LP Model'!J106*0.01</f>
        <v>0</v>
      </c>
      <c r="K100" s="394">
        <f>'NPK LP Model'!K106*0.01</f>
        <v>0</v>
      </c>
      <c r="L100" s="394">
        <f>'NPK LP Model'!L106*0.01</f>
        <v>0</v>
      </c>
      <c r="M100" s="394">
        <f>'NPK LP Model'!M106*0.01</f>
        <v>0</v>
      </c>
      <c r="N100" s="394">
        <f>'NPK LP Model'!N106*0.01</f>
        <v>0.44</v>
      </c>
      <c r="O100" s="394">
        <f>'NPK LP Model'!O106*0.01</f>
        <v>0</v>
      </c>
      <c r="P100" s="394">
        <f>'NPK LP Model'!P106*0.01</f>
        <v>0</v>
      </c>
      <c r="Q100" s="394">
        <f>'NPK LP Model'!Q91*0.01</f>
        <v>0</v>
      </c>
      <c r="R100" s="394">
        <f>'NPK LP Model'!R91*0.01</f>
        <v>0</v>
      </c>
      <c r="S100" s="394">
        <f>'NPK LP Model'!S91*0.01</f>
        <v>0</v>
      </c>
      <c r="T100" s="394">
        <f>'NPK LP Model'!T91*0.01</f>
        <v>0</v>
      </c>
      <c r="U100" s="394">
        <f>'NPK LP Model'!U91*0.01</f>
        <v>0</v>
      </c>
      <c r="V100" s="394">
        <f>'NPK LP Model'!V91*0.01</f>
        <v>0</v>
      </c>
      <c r="W100" s="394">
        <f>'NPK LP Model'!W91*0.01</f>
        <v>0</v>
      </c>
      <c r="X100" s="394">
        <f>'NPK LP Model'!X91*0.01</f>
        <v>0</v>
      </c>
      <c r="Y100" s="394">
        <f>'NPK LP Model'!Y91*0.01</f>
        <v>0</v>
      </c>
      <c r="Z100" s="394">
        <f>'NPK LP Model'!Z91*0.01</f>
        <v>0</v>
      </c>
      <c r="AA100" s="394">
        <f>'NPK LP Model'!AA91*0.01</f>
        <v>0</v>
      </c>
      <c r="AB100" s="394">
        <f>'NPK LP Model'!AB91*0.01</f>
        <v>0</v>
      </c>
      <c r="AC100" s="150"/>
      <c r="AD100" s="150"/>
      <c r="AE100" s="150"/>
      <c r="AF100" s="79"/>
      <c r="AG100" s="78"/>
      <c r="AH100" s="137"/>
    </row>
    <row r="101" spans="2:34">
      <c r="B101" s="139" t="s">
        <v>83</v>
      </c>
      <c r="C101" s="394">
        <f>'NPK LP Model'!C107*0.01</f>
        <v>0</v>
      </c>
      <c r="D101" s="394">
        <f>'NPK LP Model'!D107*0.01</f>
        <v>0.18</v>
      </c>
      <c r="E101" s="394">
        <f>'NPK LP Model'!E107*0.01</f>
        <v>0</v>
      </c>
      <c r="F101" s="394">
        <f>'NPK LP Model'!F107*0.01</f>
        <v>0.11</v>
      </c>
      <c r="G101" s="394">
        <f>'NPK LP Model'!G107*0.01</f>
        <v>0</v>
      </c>
      <c r="H101" s="394">
        <f>'NPK LP Model'!H107*0.01</f>
        <v>0.28000000000000003</v>
      </c>
      <c r="I101" s="394">
        <f>'NPK LP Model'!I107*0.01</f>
        <v>0</v>
      </c>
      <c r="J101" s="394">
        <f>'NPK LP Model'!J107*0.01</f>
        <v>0</v>
      </c>
      <c r="K101" s="394">
        <f>'NPK LP Model'!K107*0.01</f>
        <v>0</v>
      </c>
      <c r="L101" s="394">
        <f>'NPK LP Model'!L107*0.01</f>
        <v>0</v>
      </c>
      <c r="M101" s="394">
        <f>'NPK LP Model'!M107*0.01</f>
        <v>0</v>
      </c>
      <c r="N101" s="394">
        <f>'NPK LP Model'!N107*0.01</f>
        <v>7.8E-2</v>
      </c>
      <c r="O101" s="394">
        <f>'NPK LP Model'!O107*0.01</f>
        <v>0</v>
      </c>
      <c r="P101" s="394">
        <f>'NPK LP Model'!P107*0.01</f>
        <v>0</v>
      </c>
      <c r="Q101" s="394">
        <f>'NPK LP Model'!Q92*0.01</f>
        <v>0</v>
      </c>
      <c r="R101" s="394">
        <f>'NPK LP Model'!R92*0.01</f>
        <v>0</v>
      </c>
      <c r="S101" s="394">
        <f>'NPK LP Model'!S92*0.01</f>
        <v>0</v>
      </c>
      <c r="T101" s="394">
        <f>'NPK LP Model'!T92*0.01</f>
        <v>0</v>
      </c>
      <c r="U101" s="394">
        <f>'NPK LP Model'!U92*0.01</f>
        <v>0</v>
      </c>
      <c r="V101" s="394">
        <f>'NPK LP Model'!V92*0.01</f>
        <v>0</v>
      </c>
      <c r="W101" s="394">
        <f>'NPK LP Model'!W92*0.01</f>
        <v>0</v>
      </c>
      <c r="X101" s="394">
        <f>'NPK LP Model'!X92*0.01</f>
        <v>0</v>
      </c>
      <c r="Y101" s="394">
        <f>'NPK LP Model'!Y92*0.01</f>
        <v>0</v>
      </c>
      <c r="Z101" s="394">
        <f>'NPK LP Model'!Z92*0.01</f>
        <v>0</v>
      </c>
      <c r="AA101" s="394">
        <f>'NPK LP Model'!AA92*0.01</f>
        <v>0</v>
      </c>
      <c r="AB101" s="394">
        <f>'NPK LP Model'!AB92*0.01</f>
        <v>0</v>
      </c>
      <c r="AC101" s="150"/>
      <c r="AD101" s="150"/>
      <c r="AE101" s="150"/>
      <c r="AF101" s="79"/>
      <c r="AG101" s="78"/>
      <c r="AH101" s="137"/>
    </row>
    <row r="102" spans="2:34">
      <c r="B102" s="139" t="s">
        <v>11</v>
      </c>
      <c r="C102" s="394">
        <f>'NPK LP Model'!C108*0.01</f>
        <v>0.26</v>
      </c>
      <c r="D102" s="394">
        <f>'NPK LP Model'!D108*0.01</f>
        <v>0</v>
      </c>
      <c r="E102" s="394">
        <f>'NPK LP Model'!E108*0.01</f>
        <v>0</v>
      </c>
      <c r="F102" s="394">
        <f>'NPK LP Model'!F108*0.01</f>
        <v>0</v>
      </c>
      <c r="G102" s="394">
        <f>'NPK LP Model'!G108*0.01</f>
        <v>0</v>
      </c>
      <c r="H102" s="394">
        <f>'NPK LP Model'!H108*0.01</f>
        <v>0</v>
      </c>
      <c r="I102" s="394">
        <f>'NPK LP Model'!I108*0.01</f>
        <v>0.66</v>
      </c>
      <c r="J102" s="394">
        <f>'NPK LP Model'!J108*0.01</f>
        <v>0</v>
      </c>
      <c r="K102" s="394">
        <f>'NPK LP Model'!K108*0.01</f>
        <v>0</v>
      </c>
      <c r="L102" s="394">
        <f>'NPK LP Model'!L108*0.01</f>
        <v>0</v>
      </c>
      <c r="M102" s="394">
        <f>'NPK LP Model'!M108*0.01</f>
        <v>0</v>
      </c>
      <c r="N102" s="394">
        <f>'NPK LP Model'!N108*0.01</f>
        <v>0</v>
      </c>
      <c r="O102" s="394">
        <f>'NPK LP Model'!O108*0.01</f>
        <v>0</v>
      </c>
      <c r="P102" s="394">
        <f>'NPK LP Model'!P108*0.01</f>
        <v>0</v>
      </c>
      <c r="Q102" s="394">
        <f>'NPK LP Model'!Q93*0.01</f>
        <v>0</v>
      </c>
      <c r="R102" s="394">
        <f>'NPK LP Model'!R93*0.01</f>
        <v>0</v>
      </c>
      <c r="S102" s="394">
        <f>'NPK LP Model'!S93*0.01</f>
        <v>0</v>
      </c>
      <c r="T102" s="394">
        <f>'NPK LP Model'!T93*0.01</f>
        <v>0</v>
      </c>
      <c r="U102" s="394">
        <f>'NPK LP Model'!U93*0.01</f>
        <v>0</v>
      </c>
      <c r="V102" s="394">
        <f>'NPK LP Model'!V93*0.01</f>
        <v>0</v>
      </c>
      <c r="W102" s="394">
        <f>'NPK LP Model'!W93*0.01</f>
        <v>0</v>
      </c>
      <c r="X102" s="394">
        <f>'NPK LP Model'!X93*0.01</f>
        <v>0</v>
      </c>
      <c r="Y102" s="394">
        <f>'NPK LP Model'!Y93*0.01</f>
        <v>0</v>
      </c>
      <c r="Z102" s="394">
        <f>'NPK LP Model'!Z93*0.01</f>
        <v>0</v>
      </c>
      <c r="AA102" s="394">
        <f>'NPK LP Model'!AA93*0.01</f>
        <v>0</v>
      </c>
      <c r="AB102" s="394">
        <f>'NPK LP Model'!AB93*0.01</f>
        <v>0</v>
      </c>
      <c r="AC102" s="150"/>
      <c r="AD102" s="150"/>
      <c r="AE102" s="150"/>
      <c r="AF102" s="79"/>
      <c r="AG102" s="78"/>
      <c r="AH102" s="137"/>
    </row>
    <row r="103" spans="2:34">
      <c r="B103" s="139" t="s">
        <v>12</v>
      </c>
      <c r="C103" s="394">
        <f>'NPK LP Model'!C109*0.01</f>
        <v>0.13</v>
      </c>
      <c r="D103" s="394">
        <f>'NPK LP Model'!D109*0.01</f>
        <v>0</v>
      </c>
      <c r="E103" s="394">
        <f>'NPK LP Model'!E109*0.01</f>
        <v>0.44</v>
      </c>
      <c r="F103" s="394">
        <f>'NPK LP Model'!F109*0.01</f>
        <v>0</v>
      </c>
      <c r="G103" s="394">
        <f>'NPK LP Model'!G109*0.01</f>
        <v>0</v>
      </c>
      <c r="H103" s="394">
        <f>'NPK LP Model'!H109*0.01</f>
        <v>0</v>
      </c>
      <c r="I103" s="394">
        <f>'NPK LP Model'!I109*0.01</f>
        <v>0</v>
      </c>
      <c r="J103" s="394">
        <f>'NPK LP Model'!J109*0.01</f>
        <v>0</v>
      </c>
      <c r="K103" s="394">
        <f>'NPK LP Model'!K109*0.01</f>
        <v>0</v>
      </c>
      <c r="L103" s="394">
        <f>'NPK LP Model'!L109*0.01</f>
        <v>0</v>
      </c>
      <c r="M103" s="394">
        <f>'NPK LP Model'!M109*0.01</f>
        <v>0</v>
      </c>
      <c r="N103" s="394">
        <f>'NPK LP Model'!N109*0.01</f>
        <v>0.69500000000000006</v>
      </c>
      <c r="O103" s="394">
        <f>'NPK LP Model'!O109*0.01</f>
        <v>0</v>
      </c>
      <c r="P103" s="394">
        <f>'NPK LP Model'!P109*0.01</f>
        <v>0</v>
      </c>
      <c r="Q103" s="394">
        <f>'NPK LP Model'!Q94*0.01</f>
        <v>0</v>
      </c>
      <c r="R103" s="394">
        <f>'NPK LP Model'!R94*0.01</f>
        <v>0</v>
      </c>
      <c r="S103" s="394">
        <f>'NPK LP Model'!S94*0.01</f>
        <v>0</v>
      </c>
      <c r="T103" s="394">
        <f>'NPK LP Model'!T94*0.01</f>
        <v>0</v>
      </c>
      <c r="U103" s="394">
        <f>'NPK LP Model'!U94*0.01</f>
        <v>0</v>
      </c>
      <c r="V103" s="394">
        <f>'NPK LP Model'!V94*0.01</f>
        <v>0</v>
      </c>
      <c r="W103" s="394">
        <f>'NPK LP Model'!W94*0.01</f>
        <v>0</v>
      </c>
      <c r="X103" s="394">
        <f>'NPK LP Model'!X94*0.01</f>
        <v>0</v>
      </c>
      <c r="Y103" s="394">
        <f>'NPK LP Model'!Y94*0.01</f>
        <v>0</v>
      </c>
      <c r="Z103" s="394">
        <f>'NPK LP Model'!Z94*0.01</f>
        <v>0</v>
      </c>
      <c r="AA103" s="394">
        <f>'NPK LP Model'!AA94*0.01</f>
        <v>0</v>
      </c>
      <c r="AB103" s="394">
        <f>'NPK LP Model'!AB94*0.01</f>
        <v>0</v>
      </c>
      <c r="AC103" s="150"/>
      <c r="AD103" s="150"/>
      <c r="AE103" s="150"/>
      <c r="AF103" s="79"/>
      <c r="AG103" s="78"/>
      <c r="AH103" s="137"/>
    </row>
    <row r="104" spans="2:34">
      <c r="B104" s="139" t="s">
        <v>13</v>
      </c>
      <c r="C104" s="394">
        <f>'NPK LP Model'!C110*0.01</f>
        <v>0</v>
      </c>
      <c r="D104" s="394">
        <f>'NPK LP Model'!D110*0.01</f>
        <v>0</v>
      </c>
      <c r="E104" s="394">
        <f>'NPK LP Model'!E110*0.01</f>
        <v>0</v>
      </c>
      <c r="F104" s="394">
        <f>'NPK LP Model'!F110*0.01</f>
        <v>0</v>
      </c>
      <c r="G104" s="394">
        <f>'NPK LP Model'!G110*0.01</f>
        <v>0.21579999999999999</v>
      </c>
      <c r="H104" s="394">
        <f>'NPK LP Model'!H110*0.01</f>
        <v>0.308</v>
      </c>
      <c r="I104" s="394">
        <f>'NPK LP Model'!I110*0.01</f>
        <v>0</v>
      </c>
      <c r="J104" s="394">
        <f>'NPK LP Model'!J110*0.01</f>
        <v>0</v>
      </c>
      <c r="K104" s="394">
        <f>'NPK LP Model'!K110*0.01</f>
        <v>0</v>
      </c>
      <c r="L104" s="394">
        <f>'NPK LP Model'!L110*0.01</f>
        <v>0</v>
      </c>
      <c r="M104" s="394">
        <f>'NPK LP Model'!M110*0.01</f>
        <v>0</v>
      </c>
      <c r="N104" s="394">
        <f>'NPK LP Model'!N110*0.01</f>
        <v>8.0000000000000002E-3</v>
      </c>
      <c r="O104" s="394">
        <f>'NPK LP Model'!O110*0.01</f>
        <v>0</v>
      </c>
      <c r="P104" s="394">
        <f>'NPK LP Model'!P110*0.01</f>
        <v>0</v>
      </c>
      <c r="Q104" s="394">
        <f>'NPK LP Model'!Q95*0.01</f>
        <v>0</v>
      </c>
      <c r="R104" s="394">
        <f>'NPK LP Model'!R95*0.01</f>
        <v>0</v>
      </c>
      <c r="S104" s="394">
        <f>'NPK LP Model'!S95*0.01</f>
        <v>0</v>
      </c>
      <c r="T104" s="394">
        <f>'NPK LP Model'!T95*0.01</f>
        <v>0</v>
      </c>
      <c r="U104" s="394">
        <f>'NPK LP Model'!U95*0.01</f>
        <v>0</v>
      </c>
      <c r="V104" s="394">
        <f>'NPK LP Model'!V95*0.01</f>
        <v>0</v>
      </c>
      <c r="W104" s="394">
        <f>'NPK LP Model'!W95*0.01</f>
        <v>0</v>
      </c>
      <c r="X104" s="394">
        <f>'NPK LP Model'!X95*0.01</f>
        <v>0</v>
      </c>
      <c r="Y104" s="394">
        <f>'NPK LP Model'!Y95*0.01</f>
        <v>0</v>
      </c>
      <c r="Z104" s="394">
        <f>'NPK LP Model'!Z95*0.01</f>
        <v>0</v>
      </c>
      <c r="AA104" s="394">
        <f>'NPK LP Model'!AA95*0.01</f>
        <v>0</v>
      </c>
      <c r="AB104" s="394">
        <f>'NPK LP Model'!AB95*0.01</f>
        <v>0</v>
      </c>
      <c r="AC104" s="150"/>
      <c r="AD104" s="150"/>
      <c r="AE104" s="150"/>
      <c r="AF104" s="79"/>
      <c r="AG104" s="78"/>
      <c r="AH104" s="137"/>
    </row>
    <row r="105" spans="2:34">
      <c r="B105" s="139" t="s">
        <v>14</v>
      </c>
      <c r="C105" s="394">
        <f>'NPK LP Model'!C111*0.01</f>
        <v>0</v>
      </c>
      <c r="D105" s="394">
        <f>'NPK LP Model'!D111*0.01</f>
        <v>0</v>
      </c>
      <c r="E105" s="394">
        <f>'NPK LP Model'!E111*0.01</f>
        <v>0</v>
      </c>
      <c r="F105" s="394">
        <f>'NPK LP Model'!F111*0.01</f>
        <v>0</v>
      </c>
      <c r="G105" s="394">
        <f>'NPK LP Model'!G111*0.01</f>
        <v>0.03</v>
      </c>
      <c r="H105" s="394">
        <f>'NPK LP Model'!H111*0.01</f>
        <v>0.52</v>
      </c>
      <c r="I105" s="394">
        <f>'NPK LP Model'!I111*0.01</f>
        <v>0</v>
      </c>
      <c r="J105" s="394">
        <f>'NPK LP Model'!J111*0.01</f>
        <v>0</v>
      </c>
      <c r="K105" s="394">
        <f>'NPK LP Model'!K111*0.01</f>
        <v>0</v>
      </c>
      <c r="L105" s="394">
        <f>'NPK LP Model'!L111*0.01</f>
        <v>0</v>
      </c>
      <c r="M105" s="394">
        <f>'NPK LP Model'!M111*0.01</f>
        <v>0</v>
      </c>
      <c r="N105" s="394">
        <f>'NPK LP Model'!N111*0.01</f>
        <v>0</v>
      </c>
      <c r="O105" s="394">
        <f>'NPK LP Model'!O111*0.01</f>
        <v>0</v>
      </c>
      <c r="P105" s="394">
        <f>'NPK LP Model'!P111*0.01</f>
        <v>0</v>
      </c>
      <c r="Q105" s="394">
        <f>'NPK LP Model'!Q96*0.01</f>
        <v>0</v>
      </c>
      <c r="R105" s="394">
        <f>'NPK LP Model'!R96*0.01</f>
        <v>0</v>
      </c>
      <c r="S105" s="394">
        <f>'NPK LP Model'!S96*0.01</f>
        <v>0</v>
      </c>
      <c r="T105" s="394">
        <f>'NPK LP Model'!T96*0.01</f>
        <v>0</v>
      </c>
      <c r="U105" s="394">
        <f>'NPK LP Model'!U96*0.01</f>
        <v>0</v>
      </c>
      <c r="V105" s="394">
        <f>'NPK LP Model'!V96*0.01</f>
        <v>0</v>
      </c>
      <c r="W105" s="394">
        <f>'NPK LP Model'!W96*0.01</f>
        <v>0</v>
      </c>
      <c r="X105" s="394">
        <f>'NPK LP Model'!X96*0.01</f>
        <v>0</v>
      </c>
      <c r="Y105" s="394">
        <f>'NPK LP Model'!Y96*0.01</f>
        <v>0</v>
      </c>
      <c r="Z105" s="394">
        <f>'NPK LP Model'!Z96*0.01</f>
        <v>0</v>
      </c>
      <c r="AA105" s="394">
        <f>'NPK LP Model'!AA96*0.01</f>
        <v>0</v>
      </c>
      <c r="AB105" s="394">
        <f>'NPK LP Model'!AB96*0.01</f>
        <v>0</v>
      </c>
      <c r="AC105" s="150"/>
      <c r="AD105" s="150"/>
      <c r="AE105" s="150"/>
      <c r="AF105" s="79"/>
      <c r="AG105" s="78"/>
      <c r="AH105" s="137"/>
    </row>
    <row r="106" spans="2:34">
      <c r="B106" s="139" t="s">
        <v>38</v>
      </c>
      <c r="C106" s="394">
        <f>'NPK LP Model'!C112*0.01</f>
        <v>0</v>
      </c>
      <c r="D106" s="394">
        <f>'NPK LP Model'!D112*0.01</f>
        <v>0</v>
      </c>
      <c r="E106" s="394">
        <f>'NPK LP Model'!E112*0.01</f>
        <v>0</v>
      </c>
      <c r="F106" s="394">
        <f>'NPK LP Model'!F112*0.01</f>
        <v>0</v>
      </c>
      <c r="G106" s="394">
        <f>'NPK LP Model'!G112*0.01</f>
        <v>0</v>
      </c>
      <c r="H106" s="394">
        <f>'NPK LP Model'!H112*0.01</f>
        <v>0</v>
      </c>
      <c r="I106" s="394">
        <f>'NPK LP Model'!I112*0.01</f>
        <v>0</v>
      </c>
      <c r="J106" s="394">
        <f>'NPK LP Model'!J112*0.01</f>
        <v>0</v>
      </c>
      <c r="K106" s="394">
        <f>'NPK LP Model'!K112*0.01</f>
        <v>0</v>
      </c>
      <c r="L106" s="394">
        <f>'NPK LP Model'!L112*0.01</f>
        <v>0</v>
      </c>
      <c r="M106" s="394">
        <f>'NPK LP Model'!M112*0.01</f>
        <v>0</v>
      </c>
      <c r="N106" s="394">
        <f>'NPK LP Model'!N112*0.01</f>
        <v>0</v>
      </c>
      <c r="O106" s="394">
        <f>'NPK LP Model'!O112*0.01</f>
        <v>0</v>
      </c>
      <c r="P106" s="394">
        <f>'NPK LP Model'!P112*0.01</f>
        <v>0</v>
      </c>
      <c r="Q106" s="394">
        <f>'NPK LP Model'!Q97*0.01</f>
        <v>0</v>
      </c>
      <c r="R106" s="394">
        <f>'NPK LP Model'!R97*0.01</f>
        <v>0</v>
      </c>
      <c r="S106" s="394">
        <f>'NPK LP Model'!S97*0.01</f>
        <v>0</v>
      </c>
      <c r="T106" s="394">
        <f>'NPK LP Model'!T97*0.01</f>
        <v>0</v>
      </c>
      <c r="U106" s="394">
        <f>'NPK LP Model'!U97*0.01</f>
        <v>0</v>
      </c>
      <c r="V106" s="394">
        <f>'NPK LP Model'!V97*0.01</f>
        <v>0</v>
      </c>
      <c r="W106" s="394">
        <f>'NPK LP Model'!W97*0.01</f>
        <v>0</v>
      </c>
      <c r="X106" s="394">
        <f>'NPK LP Model'!X97*0.01</f>
        <v>0</v>
      </c>
      <c r="Y106" s="394">
        <f>'NPK LP Model'!Y97*0.01</f>
        <v>0</v>
      </c>
      <c r="Z106" s="394">
        <f>'NPK LP Model'!Z97*0.01</f>
        <v>0</v>
      </c>
      <c r="AA106" s="394">
        <f>'NPK LP Model'!AA97*0.01</f>
        <v>0</v>
      </c>
      <c r="AB106" s="394">
        <f>'NPK LP Model'!AB97*0.01</f>
        <v>0</v>
      </c>
      <c r="AC106" s="150"/>
      <c r="AD106" s="150"/>
      <c r="AE106" s="150"/>
      <c r="AF106" s="79"/>
      <c r="AG106" s="78"/>
      <c r="AH106" s="137"/>
    </row>
    <row r="107" spans="2:34">
      <c r="B107" s="145" t="s">
        <v>41</v>
      </c>
      <c r="C107" s="394">
        <f>'NPK LP Model'!C113*0.01</f>
        <v>0</v>
      </c>
      <c r="D107" s="394">
        <f>'NPK LP Model'!D113*0.01</f>
        <v>0</v>
      </c>
      <c r="E107" s="394">
        <f>'NPK LP Model'!E113*0.01</f>
        <v>0</v>
      </c>
      <c r="F107" s="394">
        <f>'NPK LP Model'!F113*0.01</f>
        <v>0</v>
      </c>
      <c r="G107" s="394">
        <f>'NPK LP Model'!G113*0.01</f>
        <v>0</v>
      </c>
      <c r="H107" s="394">
        <f>'NPK LP Model'!H113*0.01</f>
        <v>0</v>
      </c>
      <c r="I107" s="394">
        <f>'NPK LP Model'!I113*0.01</f>
        <v>0</v>
      </c>
      <c r="J107" s="394">
        <f>'NPK LP Model'!J113*0.01</f>
        <v>0.5</v>
      </c>
      <c r="K107" s="394">
        <f>'NPK LP Model'!K113*0.01</f>
        <v>0</v>
      </c>
      <c r="L107" s="394">
        <f>'NPK LP Model'!L113*0.01</f>
        <v>0</v>
      </c>
      <c r="M107" s="394">
        <f>'NPK LP Model'!M113*0.01</f>
        <v>0</v>
      </c>
      <c r="N107" s="394">
        <f>'NPK LP Model'!N113*0.01</f>
        <v>0</v>
      </c>
      <c r="O107" s="394">
        <f>'NPK LP Model'!O113*0.01</f>
        <v>0</v>
      </c>
      <c r="P107" s="394">
        <f>'NPK LP Model'!P113*0.01</f>
        <v>0</v>
      </c>
      <c r="Q107" s="394">
        <f>'NPK LP Model'!Q98*0.01</f>
        <v>0</v>
      </c>
      <c r="R107" s="394">
        <f>'NPK LP Model'!R98*0.01</f>
        <v>0</v>
      </c>
      <c r="S107" s="394">
        <f>'NPK LP Model'!S98*0.01</f>
        <v>0</v>
      </c>
      <c r="T107" s="394">
        <f>'NPK LP Model'!T98*0.01</f>
        <v>0</v>
      </c>
      <c r="U107" s="394">
        <f>'NPK LP Model'!U98*0.01</f>
        <v>0</v>
      </c>
      <c r="V107" s="394">
        <f>'NPK LP Model'!V98*0.01</f>
        <v>0</v>
      </c>
      <c r="W107" s="394">
        <f>'NPK LP Model'!W98*0.01</f>
        <v>0</v>
      </c>
      <c r="X107" s="394">
        <f>'NPK LP Model'!X98*0.01</f>
        <v>0</v>
      </c>
      <c r="Y107" s="394">
        <f>'NPK LP Model'!Y98*0.01</f>
        <v>0</v>
      </c>
      <c r="Z107" s="394">
        <f>'NPK LP Model'!Z98*0.01</f>
        <v>0</v>
      </c>
      <c r="AA107" s="394">
        <f>'NPK LP Model'!AA98*0.01</f>
        <v>0</v>
      </c>
      <c r="AB107" s="394">
        <f>'NPK LP Model'!AB98*0.01</f>
        <v>0</v>
      </c>
      <c r="AC107" s="150"/>
      <c r="AD107" s="150"/>
      <c r="AE107" s="150"/>
      <c r="AF107" s="79"/>
      <c r="AG107" s="78"/>
      <c r="AH107" s="137"/>
    </row>
    <row r="108" spans="2:34">
      <c r="B108" s="139" t="s">
        <v>9</v>
      </c>
      <c r="C108" s="146">
        <v>1</v>
      </c>
      <c r="D108" s="147"/>
      <c r="E108" s="147"/>
      <c r="F108" s="147"/>
      <c r="G108" s="147"/>
      <c r="H108" s="147"/>
      <c r="I108" s="147"/>
      <c r="J108" s="147"/>
      <c r="K108" s="147"/>
      <c r="L108" s="148"/>
      <c r="M108" s="147"/>
      <c r="N108" s="149"/>
      <c r="O108" s="147"/>
      <c r="P108" s="149"/>
      <c r="Q108" s="149"/>
      <c r="R108" s="147"/>
      <c r="S108" s="147"/>
      <c r="T108" s="147"/>
      <c r="U108" s="147"/>
      <c r="V108" s="147"/>
      <c r="W108" s="147"/>
      <c r="X108" s="147"/>
      <c r="Y108" s="147"/>
      <c r="Z108" s="147"/>
      <c r="AA108" s="150"/>
      <c r="AB108" s="150"/>
      <c r="AC108" s="150"/>
      <c r="AD108" s="150"/>
      <c r="AE108" s="150"/>
      <c r="AF108" s="79"/>
      <c r="AG108" s="78"/>
      <c r="AH108" s="137"/>
    </row>
    <row r="109" spans="2:34">
      <c r="B109" s="274" t="s">
        <v>101</v>
      </c>
      <c r="C109" s="242">
        <v>76</v>
      </c>
      <c r="D109" s="242">
        <v>29.2</v>
      </c>
      <c r="E109" s="243">
        <v>80.400000000000006</v>
      </c>
      <c r="F109" s="242">
        <v>26.7</v>
      </c>
      <c r="G109" s="242">
        <v>74.400000000000006</v>
      </c>
      <c r="H109" s="242">
        <v>88.3</v>
      </c>
      <c r="I109" s="242">
        <v>104</v>
      </c>
      <c r="J109" s="242"/>
      <c r="K109" s="243">
        <v>97</v>
      </c>
      <c r="L109" s="243">
        <v>129.5</v>
      </c>
      <c r="M109" s="242">
        <v>8.1</v>
      </c>
      <c r="N109" s="242">
        <v>47.1</v>
      </c>
      <c r="O109" s="242">
        <v>10.119999999999999</v>
      </c>
      <c r="P109" s="242"/>
      <c r="Q109" s="243">
        <v>80.400000000000006</v>
      </c>
      <c r="R109" s="242">
        <v>44</v>
      </c>
      <c r="S109" s="242">
        <v>7.8</v>
      </c>
      <c r="T109" s="242"/>
      <c r="U109" s="242">
        <v>69.5</v>
      </c>
      <c r="V109" s="242">
        <v>0.8</v>
      </c>
      <c r="W109" s="101"/>
      <c r="X109" s="242"/>
      <c r="Y109" s="242"/>
      <c r="Z109" s="242"/>
      <c r="AA109" s="150"/>
      <c r="AB109" s="150"/>
      <c r="AC109" s="150"/>
      <c r="AD109" s="150"/>
      <c r="AE109" s="150"/>
      <c r="AF109" s="79"/>
      <c r="AG109" s="78"/>
      <c r="AH109" s="137"/>
    </row>
    <row r="110" spans="2:34">
      <c r="B110" s="101" t="s">
        <v>106</v>
      </c>
      <c r="C110" s="150">
        <f>IFERROR(VLOOKUP(C96,$B$132:$C$146,2,FALSE),0)</f>
        <v>51</v>
      </c>
      <c r="D110" s="150">
        <f t="shared" ref="D110:S110" si="38">IFERROR(VLOOKUP(D96,$B$132:$C$146,2,FALSE),0)</f>
        <v>800</v>
      </c>
      <c r="E110" s="300">
        <v>766</v>
      </c>
      <c r="F110" s="150">
        <f t="shared" si="38"/>
        <v>500</v>
      </c>
      <c r="G110" s="150">
        <f t="shared" si="38"/>
        <v>1800</v>
      </c>
      <c r="H110" s="150">
        <f t="shared" si="38"/>
        <v>840</v>
      </c>
      <c r="I110" s="150">
        <f t="shared" si="38"/>
        <v>2300</v>
      </c>
      <c r="J110" s="150">
        <f t="shared" si="38"/>
        <v>2000</v>
      </c>
      <c r="K110" s="150">
        <f t="shared" si="38"/>
        <v>766</v>
      </c>
      <c r="L110" s="150">
        <f t="shared" si="38"/>
        <v>350</v>
      </c>
      <c r="M110" s="150">
        <f t="shared" si="38"/>
        <v>125</v>
      </c>
      <c r="N110" s="150"/>
      <c r="O110" s="150">
        <f t="shared" si="38"/>
        <v>200</v>
      </c>
      <c r="P110" s="150"/>
      <c r="Q110" s="150"/>
      <c r="R110" s="150">
        <f t="shared" si="38"/>
        <v>118</v>
      </c>
      <c r="S110" s="150">
        <f t="shared" si="38"/>
        <v>200</v>
      </c>
      <c r="T110" s="150"/>
      <c r="U110" s="150"/>
      <c r="V110" s="150"/>
      <c r="W110" s="150"/>
      <c r="X110" s="150"/>
      <c r="Y110" s="150"/>
      <c r="Z110" s="150"/>
      <c r="AA110" s="150"/>
      <c r="AB110" s="150"/>
      <c r="AC110" s="150"/>
      <c r="AD110" s="150"/>
      <c r="AE110" s="150"/>
      <c r="AF110" s="79"/>
      <c r="AG110" s="78"/>
      <c r="AH110" s="137"/>
    </row>
    <row r="111" spans="2:34">
      <c r="B111" s="139" t="s">
        <v>13</v>
      </c>
      <c r="C111" s="142">
        <v>2</v>
      </c>
      <c r="D111" s="143"/>
      <c r="E111" s="143"/>
      <c r="F111" s="140"/>
      <c r="G111" s="140"/>
      <c r="H111" s="140"/>
      <c r="I111" s="140"/>
      <c r="J111" s="140"/>
      <c r="K111" s="140">
        <v>3</v>
      </c>
      <c r="L111" s="140">
        <v>48</v>
      </c>
      <c r="M111" s="144"/>
      <c r="N111" s="140"/>
      <c r="O111" s="140"/>
      <c r="P111" s="140"/>
      <c r="Q111" s="141"/>
      <c r="R111" s="140"/>
      <c r="S111" s="140"/>
      <c r="T111" s="140">
        <v>66</v>
      </c>
      <c r="U111" s="140"/>
      <c r="V111" s="140"/>
      <c r="W111" s="140"/>
      <c r="X111" s="140"/>
      <c r="Y111" s="140"/>
      <c r="Z111" s="140"/>
      <c r="AA111" s="150"/>
      <c r="AB111" s="150"/>
      <c r="AC111" s="150"/>
      <c r="AD111" s="150"/>
      <c r="AE111" s="150"/>
      <c r="AF111" s="79"/>
      <c r="AG111" s="78"/>
      <c r="AH111" s="137"/>
    </row>
    <row r="112" spans="2:34">
      <c r="B112" s="78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79"/>
      <c r="AF112" s="79"/>
      <c r="AG112" s="78"/>
      <c r="AH112" s="137"/>
    </row>
    <row r="113" spans="2:34">
      <c r="B113" s="78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135">
        <v>4.3900000000000002E-2</v>
      </c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79"/>
      <c r="AF113" s="79"/>
      <c r="AG113" s="78"/>
      <c r="AH113" s="137"/>
    </row>
    <row r="114" spans="2:34">
      <c r="B114" s="150">
        <v>1</v>
      </c>
      <c r="C114" s="151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79"/>
      <c r="AF114" s="79"/>
      <c r="AG114" s="78"/>
      <c r="AH114" s="137"/>
    </row>
    <row r="115" spans="2:34">
      <c r="B115" s="150">
        <v>2</v>
      </c>
      <c r="C115" s="151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79"/>
      <c r="AF115" s="79"/>
      <c r="AG115" s="78"/>
      <c r="AH115" s="137"/>
    </row>
    <row r="116" spans="2:34">
      <c r="B116" s="150">
        <v>3</v>
      </c>
      <c r="C116" s="151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79"/>
      <c r="AF116" s="79"/>
      <c r="AG116" s="78"/>
      <c r="AH116" s="137"/>
    </row>
    <row r="117" spans="2:34">
      <c r="B117" s="150">
        <v>4</v>
      </c>
      <c r="C117" s="151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79"/>
      <c r="AF117" s="79"/>
      <c r="AG117" s="78"/>
      <c r="AH117" s="137"/>
    </row>
    <row r="118" spans="2:34">
      <c r="B118" s="150">
        <v>5</v>
      </c>
      <c r="C118" s="151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79"/>
      <c r="AF118" s="79"/>
      <c r="AG118" s="78"/>
      <c r="AH118" s="137"/>
    </row>
    <row r="119" spans="2:34">
      <c r="B119" s="150">
        <v>6</v>
      </c>
      <c r="C119" s="151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79"/>
      <c r="AF119" s="79"/>
      <c r="AG119" s="78"/>
      <c r="AH119" s="137"/>
    </row>
    <row r="120" spans="2:34">
      <c r="B120" s="150">
        <v>7</v>
      </c>
      <c r="C120" s="151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79"/>
      <c r="AF120" s="79"/>
      <c r="AG120" s="78"/>
      <c r="AH120" s="137"/>
    </row>
    <row r="121" spans="2:34">
      <c r="B121" s="150">
        <v>8</v>
      </c>
      <c r="C121" s="151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79"/>
      <c r="AF121" s="79"/>
      <c r="AG121" s="78"/>
      <c r="AH121" s="137"/>
    </row>
    <row r="122" spans="2:34">
      <c r="B122" s="150">
        <v>9</v>
      </c>
      <c r="C122" s="151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79"/>
      <c r="AF122" s="79"/>
      <c r="AG122" s="78"/>
      <c r="AH122" s="137"/>
    </row>
    <row r="123" spans="2:34">
      <c r="B123" s="150">
        <v>10</v>
      </c>
      <c r="C123" s="151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79"/>
      <c r="AF123" s="79"/>
      <c r="AG123" s="78"/>
      <c r="AH123" s="137"/>
    </row>
    <row r="124" spans="2:34">
      <c r="B124" s="150">
        <v>11</v>
      </c>
      <c r="C124" s="151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79"/>
      <c r="AF124" s="79"/>
      <c r="AG124" s="78"/>
      <c r="AH124" s="137"/>
    </row>
    <row r="125" spans="2:34">
      <c r="B125" s="150">
        <v>12</v>
      </c>
      <c r="C125" s="151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79"/>
      <c r="AF125" s="79"/>
      <c r="AG125" s="78"/>
      <c r="AH125" s="137"/>
    </row>
    <row r="126" spans="2:34">
      <c r="B126" s="150">
        <v>13</v>
      </c>
      <c r="C126" s="151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79"/>
      <c r="AF126" s="79"/>
      <c r="AG126" s="78"/>
      <c r="AH126" s="137"/>
    </row>
    <row r="127" spans="2:34">
      <c r="B127" s="152"/>
      <c r="C127" s="135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79"/>
      <c r="AF127" s="79"/>
      <c r="AG127" s="78"/>
      <c r="AH127" s="137"/>
    </row>
    <row r="128" spans="2:34">
      <c r="B128" s="153">
        <v>1</v>
      </c>
      <c r="C128" s="150">
        <v>2</v>
      </c>
      <c r="D128" s="153">
        <v>3</v>
      </c>
      <c r="E128" s="150">
        <v>4</v>
      </c>
      <c r="F128" s="153">
        <v>5</v>
      </c>
      <c r="G128" s="150">
        <v>6</v>
      </c>
      <c r="H128" s="153">
        <v>7</v>
      </c>
      <c r="I128" s="150">
        <v>8</v>
      </c>
      <c r="J128" s="153">
        <v>9</v>
      </c>
      <c r="K128" s="150">
        <v>10</v>
      </c>
      <c r="L128" s="153">
        <v>11</v>
      </c>
      <c r="M128" s="150">
        <v>12</v>
      </c>
      <c r="N128" s="153">
        <v>13</v>
      </c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79"/>
      <c r="AF128" s="79"/>
      <c r="AG128" s="78"/>
      <c r="AH128" s="137"/>
    </row>
    <row r="129" spans="2:34">
      <c r="B129" s="151">
        <f>C114</f>
        <v>0</v>
      </c>
      <c r="C129" s="151">
        <f>C115</f>
        <v>0</v>
      </c>
      <c r="D129" s="151">
        <f>C116</f>
        <v>0</v>
      </c>
      <c r="E129" s="151">
        <f>C117</f>
        <v>0</v>
      </c>
      <c r="F129" s="151">
        <f>C118</f>
        <v>0</v>
      </c>
      <c r="G129" s="151">
        <f>C119</f>
        <v>0</v>
      </c>
      <c r="H129" s="151">
        <f>C120</f>
        <v>0</v>
      </c>
      <c r="I129" s="151">
        <f>C121</f>
        <v>0</v>
      </c>
      <c r="J129" s="151">
        <f>C122</f>
        <v>0</v>
      </c>
      <c r="K129" s="151">
        <f>C123</f>
        <v>0</v>
      </c>
      <c r="L129" s="151">
        <f>C124</f>
        <v>0</v>
      </c>
      <c r="M129" s="151">
        <f>C125</f>
        <v>0</v>
      </c>
      <c r="N129" s="151">
        <f>C126</f>
        <v>0</v>
      </c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  <c r="AA129" s="87"/>
      <c r="AB129" s="87"/>
      <c r="AC129" s="87"/>
      <c r="AD129" s="87"/>
      <c r="AE129" s="88"/>
      <c r="AF129" s="88"/>
      <c r="AG129" s="86"/>
      <c r="AH129" s="319"/>
    </row>
    <row r="130" spans="2:34">
      <c r="B130" s="129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359"/>
    </row>
    <row r="131" spans="2:34">
      <c r="B131" s="78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G131" s="2"/>
      <c r="AH131" s="137"/>
    </row>
    <row r="132" spans="2:34" ht="57.6">
      <c r="B132" s="101" t="s">
        <v>77</v>
      </c>
      <c r="C132" s="293" t="s">
        <v>104</v>
      </c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G132" s="2"/>
      <c r="AH132" s="137"/>
    </row>
    <row r="133" spans="2:34">
      <c r="B133" s="101" t="s">
        <v>9</v>
      </c>
      <c r="C133" s="101">
        <v>51</v>
      </c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G133" s="2"/>
      <c r="AH133" s="137"/>
    </row>
    <row r="134" spans="2:34">
      <c r="B134" s="101" t="s">
        <v>31</v>
      </c>
      <c r="C134" s="101">
        <v>118</v>
      </c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G134" s="2"/>
      <c r="AH134" s="137"/>
    </row>
    <row r="135" spans="2:34">
      <c r="B135" s="101" t="s">
        <v>26</v>
      </c>
      <c r="C135" s="101">
        <v>125</v>
      </c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G135" s="2"/>
      <c r="AH135" s="137"/>
    </row>
    <row r="136" spans="2:34">
      <c r="B136" s="101" t="s">
        <v>32</v>
      </c>
      <c r="C136" s="101">
        <v>200</v>
      </c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G136" s="2"/>
      <c r="AH136" s="137"/>
    </row>
    <row r="137" spans="2:34">
      <c r="B137" s="101" t="s">
        <v>28</v>
      </c>
      <c r="C137" s="101">
        <v>200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G137" s="2"/>
      <c r="AH137" s="137"/>
    </row>
    <row r="138" spans="2:34">
      <c r="B138" s="101" t="s">
        <v>105</v>
      </c>
      <c r="C138" s="101">
        <v>291</v>
      </c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G138" s="2"/>
      <c r="AH138" s="137"/>
    </row>
    <row r="139" spans="2:34">
      <c r="B139" s="101" t="s">
        <v>43</v>
      </c>
      <c r="C139" s="101">
        <v>350</v>
      </c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G139" s="2"/>
      <c r="AH139" s="137"/>
    </row>
    <row r="140" spans="2:34">
      <c r="B140" s="101" t="s">
        <v>42</v>
      </c>
      <c r="C140" s="101">
        <v>500</v>
      </c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G140" s="2"/>
      <c r="AH140" s="137"/>
    </row>
    <row r="141" spans="2:34">
      <c r="B141" s="101" t="s">
        <v>71</v>
      </c>
      <c r="C141" s="101">
        <v>766</v>
      </c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G141" s="2"/>
      <c r="AH141" s="137"/>
    </row>
    <row r="142" spans="2:34">
      <c r="B142" s="101" t="s">
        <v>78</v>
      </c>
      <c r="C142" s="101">
        <v>800</v>
      </c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G142" s="2"/>
      <c r="AH142" s="137"/>
    </row>
    <row r="143" spans="2:34">
      <c r="B143" s="101" t="s">
        <v>21</v>
      </c>
      <c r="C143" s="101">
        <v>840</v>
      </c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G143" s="2"/>
      <c r="AH143" s="137"/>
    </row>
    <row r="144" spans="2:34">
      <c r="B144" s="101" t="s">
        <v>79</v>
      </c>
      <c r="C144" s="101">
        <v>1800</v>
      </c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G144" s="2"/>
      <c r="AH144" s="137"/>
    </row>
    <row r="145" spans="2:34">
      <c r="B145" s="101" t="s">
        <v>23</v>
      </c>
      <c r="C145" s="101">
        <v>2000</v>
      </c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G145" s="2"/>
      <c r="AH145" s="137"/>
    </row>
    <row r="146" spans="2:34">
      <c r="B146" s="101" t="s">
        <v>22</v>
      </c>
      <c r="C146" s="101">
        <v>2300</v>
      </c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G146" s="2"/>
      <c r="AH146" s="137"/>
    </row>
    <row r="147" spans="2:34">
      <c r="B147" s="86"/>
      <c r="C147" s="87"/>
      <c r="D147" s="87"/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  <c r="AA147" s="87"/>
      <c r="AB147" s="87"/>
      <c r="AC147" s="87"/>
      <c r="AD147" s="87"/>
      <c r="AE147" s="87"/>
      <c r="AF147" s="87"/>
      <c r="AG147" s="87"/>
      <c r="AH147" s="319"/>
    </row>
    <row r="148" spans="2:34">
      <c r="B148" s="78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AC148" s="2"/>
      <c r="AD148" s="2"/>
      <c r="AG148" s="2"/>
      <c r="AH148" s="137"/>
    </row>
    <row r="149" spans="2:34">
      <c r="B149" s="358" t="s">
        <v>0</v>
      </c>
      <c r="C149" s="358" t="s">
        <v>1</v>
      </c>
      <c r="D149" s="358" t="s">
        <v>2</v>
      </c>
      <c r="E149" s="358" t="s">
        <v>3</v>
      </c>
      <c r="F149" s="358" t="s">
        <v>4</v>
      </c>
      <c r="G149" s="358" t="s">
        <v>5</v>
      </c>
      <c r="H149" s="358" t="s">
        <v>6</v>
      </c>
      <c r="I149" s="358" t="s">
        <v>7</v>
      </c>
      <c r="J149" s="361" t="s">
        <v>8</v>
      </c>
      <c r="K149" s="129"/>
      <c r="L149" s="11"/>
      <c r="M149" s="11"/>
      <c r="N149" s="11"/>
      <c r="O149" s="11"/>
      <c r="P149" s="11"/>
      <c r="Q149" s="11"/>
      <c r="R149" s="11"/>
      <c r="S149" s="357"/>
      <c r="T149" s="358" t="s">
        <v>0</v>
      </c>
      <c r="U149" s="358" t="s">
        <v>1</v>
      </c>
      <c r="V149" s="358" t="s">
        <v>2</v>
      </c>
      <c r="W149" s="358" t="s">
        <v>3</v>
      </c>
      <c r="X149" s="358" t="s">
        <v>4</v>
      </c>
      <c r="Y149" s="358" t="s">
        <v>5</v>
      </c>
      <c r="Z149" s="358" t="s">
        <v>6</v>
      </c>
      <c r="AA149" s="358" t="s">
        <v>7</v>
      </c>
      <c r="AB149" s="358" t="s">
        <v>8</v>
      </c>
      <c r="AC149" s="11"/>
      <c r="AD149" s="11"/>
      <c r="AE149" s="11"/>
      <c r="AF149" s="11"/>
      <c r="AG149" s="11"/>
      <c r="AH149" s="359"/>
    </row>
    <row r="150" spans="2:34">
      <c r="B150" s="150" t="str">
        <f>B23</f>
        <v>POLY4</v>
      </c>
      <c r="C150" s="150" t="str">
        <f t="shared" ref="C150:J150" si="39">C23</f>
        <v>Urea</v>
      </c>
      <c r="D150" s="150" t="str">
        <f t="shared" si="39"/>
        <v>DAP</v>
      </c>
      <c r="E150" s="150" t="str">
        <f t="shared" si="39"/>
        <v>MOP</v>
      </c>
      <c r="F150" s="150" t="str">
        <f t="shared" si="39"/>
        <v>Filler</v>
      </c>
      <c r="G150" s="150">
        <f t="shared" si="39"/>
        <v>0</v>
      </c>
      <c r="H150" s="150">
        <f t="shared" si="39"/>
        <v>0</v>
      </c>
      <c r="I150" s="150">
        <f t="shared" si="39"/>
        <v>0</v>
      </c>
      <c r="J150" s="362">
        <f t="shared" si="39"/>
        <v>0</v>
      </c>
      <c r="K150" s="78"/>
      <c r="L150" s="2"/>
      <c r="M150" s="2"/>
      <c r="N150" s="2"/>
      <c r="O150" s="2"/>
      <c r="P150" s="2"/>
      <c r="Q150" s="2"/>
      <c r="R150" s="2"/>
      <c r="S150" s="79"/>
      <c r="T150" s="360" t="str">
        <f>IF(B150=0,"",B150)</f>
        <v>POLY4</v>
      </c>
      <c r="U150" s="360" t="str">
        <f t="shared" ref="U150:AB163" si="40">IF(C150=0,"",C150)</f>
        <v>Urea</v>
      </c>
      <c r="V150" s="360" t="str">
        <f t="shared" si="40"/>
        <v>DAP</v>
      </c>
      <c r="W150" s="360" t="str">
        <f t="shared" si="40"/>
        <v>MOP</v>
      </c>
      <c r="X150" s="360" t="str">
        <f t="shared" si="40"/>
        <v>Filler</v>
      </c>
      <c r="Y150" s="360" t="str">
        <f t="shared" si="40"/>
        <v/>
      </c>
      <c r="Z150" s="360" t="str">
        <f t="shared" si="40"/>
        <v/>
      </c>
      <c r="AA150" s="360" t="str">
        <f t="shared" si="40"/>
        <v/>
      </c>
      <c r="AB150" s="360" t="str">
        <f t="shared" si="40"/>
        <v/>
      </c>
      <c r="AC150" s="2"/>
      <c r="AD150" s="2"/>
      <c r="AG150" s="2"/>
      <c r="AH150" s="137"/>
    </row>
    <row r="151" spans="2:34">
      <c r="B151" s="360"/>
      <c r="C151" s="360"/>
      <c r="D151" s="360"/>
      <c r="E151" s="360"/>
      <c r="F151" s="360"/>
      <c r="G151" s="360"/>
      <c r="H151" s="360"/>
      <c r="I151" s="360"/>
      <c r="J151" s="363"/>
      <c r="K151" s="78"/>
      <c r="L151" s="2"/>
      <c r="M151" s="2"/>
      <c r="N151" s="2"/>
      <c r="O151" s="2"/>
      <c r="P151" s="2"/>
      <c r="Q151" s="2"/>
      <c r="R151" s="2"/>
      <c r="S151" s="79"/>
      <c r="T151" s="360" t="str">
        <f t="shared" ref="T151:T163" si="41">IF(B151=0,"",B151)</f>
        <v/>
      </c>
      <c r="U151" s="360" t="str">
        <f t="shared" si="40"/>
        <v/>
      </c>
      <c r="V151" s="360" t="str">
        <f t="shared" si="40"/>
        <v/>
      </c>
      <c r="W151" s="360" t="str">
        <f t="shared" si="40"/>
        <v/>
      </c>
      <c r="X151" s="360" t="str">
        <f t="shared" si="40"/>
        <v/>
      </c>
      <c r="Y151" s="360" t="str">
        <f t="shared" si="40"/>
        <v/>
      </c>
      <c r="Z151" s="360" t="str">
        <f t="shared" si="40"/>
        <v/>
      </c>
      <c r="AA151" s="360" t="str">
        <f t="shared" si="40"/>
        <v/>
      </c>
      <c r="AB151" s="360" t="str">
        <f t="shared" si="40"/>
        <v/>
      </c>
      <c r="AC151" s="2"/>
      <c r="AD151" s="2"/>
      <c r="AG151" s="2"/>
      <c r="AH151" s="137"/>
    </row>
    <row r="152" spans="2:34">
      <c r="B152" s="360"/>
      <c r="C152" s="360"/>
      <c r="D152" s="360"/>
      <c r="E152" s="360"/>
      <c r="F152" s="360"/>
      <c r="G152" s="360"/>
      <c r="H152" s="360"/>
      <c r="I152" s="360"/>
      <c r="J152" s="363"/>
      <c r="K152" s="78"/>
      <c r="L152" s="2"/>
      <c r="M152" s="2"/>
      <c r="N152" s="2"/>
      <c r="O152" s="2"/>
      <c r="P152" s="2"/>
      <c r="Q152" s="2"/>
      <c r="R152" s="2"/>
      <c r="S152" s="79"/>
      <c r="T152" s="360" t="str">
        <f t="shared" si="41"/>
        <v/>
      </c>
      <c r="U152" s="360" t="str">
        <f t="shared" si="40"/>
        <v/>
      </c>
      <c r="V152" s="360" t="str">
        <f t="shared" si="40"/>
        <v/>
      </c>
      <c r="W152" s="360" t="str">
        <f t="shared" si="40"/>
        <v/>
      </c>
      <c r="X152" s="360" t="str">
        <f t="shared" si="40"/>
        <v/>
      </c>
      <c r="Y152" s="360" t="str">
        <f t="shared" si="40"/>
        <v/>
      </c>
      <c r="Z152" s="360" t="str">
        <f t="shared" si="40"/>
        <v/>
      </c>
      <c r="AA152" s="360" t="str">
        <f t="shared" si="40"/>
        <v/>
      </c>
      <c r="AB152" s="360" t="str">
        <f t="shared" si="40"/>
        <v/>
      </c>
      <c r="AC152" s="2"/>
      <c r="AD152" s="2"/>
      <c r="AG152" s="2"/>
      <c r="AH152" s="137"/>
    </row>
    <row r="153" spans="2:34">
      <c r="B153" s="360"/>
      <c r="C153" s="360"/>
      <c r="D153" s="360"/>
      <c r="E153" s="360"/>
      <c r="F153" s="360"/>
      <c r="G153" s="360"/>
      <c r="H153" s="360"/>
      <c r="I153" s="360"/>
      <c r="J153" s="363"/>
      <c r="K153" s="78"/>
      <c r="L153" s="2"/>
      <c r="M153" s="2"/>
      <c r="N153" s="2"/>
      <c r="O153" s="2"/>
      <c r="P153" s="2"/>
      <c r="Q153" s="2"/>
      <c r="R153" s="2"/>
      <c r="S153" s="79"/>
      <c r="T153" s="360" t="str">
        <f t="shared" si="41"/>
        <v/>
      </c>
      <c r="U153" s="360" t="str">
        <f t="shared" si="40"/>
        <v/>
      </c>
      <c r="V153" s="360" t="str">
        <f t="shared" si="40"/>
        <v/>
      </c>
      <c r="W153" s="360" t="str">
        <f t="shared" si="40"/>
        <v/>
      </c>
      <c r="X153" s="360" t="str">
        <f t="shared" si="40"/>
        <v/>
      </c>
      <c r="Y153" s="360" t="str">
        <f t="shared" si="40"/>
        <v/>
      </c>
      <c r="Z153" s="360" t="str">
        <f t="shared" si="40"/>
        <v/>
      </c>
      <c r="AA153" s="360" t="str">
        <f t="shared" si="40"/>
        <v/>
      </c>
      <c r="AB153" s="360" t="str">
        <f t="shared" si="40"/>
        <v/>
      </c>
      <c r="AC153" s="2"/>
      <c r="AD153" s="2"/>
      <c r="AG153" s="2"/>
      <c r="AH153" s="137"/>
    </row>
    <row r="154" spans="2:34">
      <c r="B154" s="360"/>
      <c r="C154" s="360"/>
      <c r="D154" s="360"/>
      <c r="E154" s="360"/>
      <c r="F154" s="360"/>
      <c r="G154" s="360"/>
      <c r="H154" s="360"/>
      <c r="I154" s="360"/>
      <c r="J154" s="363"/>
      <c r="K154" s="78"/>
      <c r="L154" s="2"/>
      <c r="M154" s="2"/>
      <c r="N154" s="2"/>
      <c r="O154" s="2"/>
      <c r="P154" s="2"/>
      <c r="Q154" s="2"/>
      <c r="R154" s="2"/>
      <c r="S154" s="79"/>
      <c r="T154" s="360" t="str">
        <f t="shared" si="41"/>
        <v/>
      </c>
      <c r="U154" s="360" t="str">
        <f t="shared" si="40"/>
        <v/>
      </c>
      <c r="V154" s="360" t="str">
        <f t="shared" si="40"/>
        <v/>
      </c>
      <c r="W154" s="360" t="str">
        <f t="shared" si="40"/>
        <v/>
      </c>
      <c r="X154" s="360" t="str">
        <f t="shared" si="40"/>
        <v/>
      </c>
      <c r="Y154" s="360" t="str">
        <f t="shared" si="40"/>
        <v/>
      </c>
      <c r="Z154" s="360" t="str">
        <f t="shared" si="40"/>
        <v/>
      </c>
      <c r="AA154" s="360" t="str">
        <f t="shared" si="40"/>
        <v/>
      </c>
      <c r="AB154" s="360" t="str">
        <f t="shared" si="40"/>
        <v/>
      </c>
      <c r="AC154" s="2"/>
      <c r="AD154" s="2"/>
      <c r="AG154" s="2"/>
      <c r="AH154" s="137"/>
    </row>
    <row r="155" spans="2:34">
      <c r="B155" s="360"/>
      <c r="C155" s="360"/>
      <c r="D155" s="360"/>
      <c r="E155" s="360"/>
      <c r="F155" s="360"/>
      <c r="G155" s="360"/>
      <c r="H155" s="360"/>
      <c r="I155" s="360"/>
      <c r="J155" s="363"/>
      <c r="K155" s="78"/>
      <c r="L155" s="2"/>
      <c r="M155" s="2"/>
      <c r="N155" s="2"/>
      <c r="O155" s="2"/>
      <c r="P155" s="2"/>
      <c r="Q155" s="2"/>
      <c r="R155" s="2"/>
      <c r="S155" s="79"/>
      <c r="T155" s="360" t="str">
        <f t="shared" si="41"/>
        <v/>
      </c>
      <c r="U155" s="360" t="str">
        <f t="shared" si="40"/>
        <v/>
      </c>
      <c r="V155" s="360" t="str">
        <f t="shared" si="40"/>
        <v/>
      </c>
      <c r="W155" s="360" t="str">
        <f t="shared" si="40"/>
        <v/>
      </c>
      <c r="X155" s="360" t="str">
        <f t="shared" si="40"/>
        <v/>
      </c>
      <c r="Y155" s="360" t="str">
        <f t="shared" si="40"/>
        <v/>
      </c>
      <c r="Z155" s="360" t="str">
        <f t="shared" si="40"/>
        <v/>
      </c>
      <c r="AA155" s="360" t="str">
        <f t="shared" si="40"/>
        <v/>
      </c>
      <c r="AB155" s="360" t="str">
        <f t="shared" si="40"/>
        <v/>
      </c>
      <c r="AC155" s="2"/>
      <c r="AD155" s="2"/>
      <c r="AG155" s="2"/>
      <c r="AH155" s="137"/>
    </row>
    <row r="156" spans="2:34">
      <c r="B156" s="360"/>
      <c r="C156" s="360"/>
      <c r="D156" s="360"/>
      <c r="E156" s="360"/>
      <c r="F156" s="360"/>
      <c r="G156" s="360"/>
      <c r="H156" s="360"/>
      <c r="I156" s="360"/>
      <c r="J156" s="363"/>
      <c r="K156" s="78"/>
      <c r="L156" s="2"/>
      <c r="M156" s="2"/>
      <c r="N156" s="2"/>
      <c r="O156" s="2"/>
      <c r="P156" s="2"/>
      <c r="Q156" s="2"/>
      <c r="R156" s="2"/>
      <c r="S156" s="79"/>
      <c r="T156" s="360" t="str">
        <f t="shared" si="41"/>
        <v/>
      </c>
      <c r="U156" s="360" t="str">
        <f t="shared" si="40"/>
        <v/>
      </c>
      <c r="V156" s="360" t="str">
        <f t="shared" si="40"/>
        <v/>
      </c>
      <c r="W156" s="360" t="str">
        <f t="shared" si="40"/>
        <v/>
      </c>
      <c r="X156" s="360" t="str">
        <f t="shared" si="40"/>
        <v/>
      </c>
      <c r="Y156" s="360" t="str">
        <f t="shared" si="40"/>
        <v/>
      </c>
      <c r="Z156" s="360" t="str">
        <f t="shared" si="40"/>
        <v/>
      </c>
      <c r="AA156" s="360" t="str">
        <f t="shared" si="40"/>
        <v/>
      </c>
      <c r="AB156" s="360" t="str">
        <f t="shared" si="40"/>
        <v/>
      </c>
      <c r="AC156" s="2"/>
      <c r="AD156" s="2"/>
      <c r="AG156" s="2"/>
      <c r="AH156" s="137"/>
    </row>
    <row r="157" spans="2:34">
      <c r="B157" s="360"/>
      <c r="C157" s="360"/>
      <c r="D157" s="360"/>
      <c r="E157" s="360"/>
      <c r="F157" s="360"/>
      <c r="G157" s="360"/>
      <c r="H157" s="360"/>
      <c r="I157" s="360"/>
      <c r="J157" s="363"/>
      <c r="K157" s="78"/>
      <c r="L157" s="2"/>
      <c r="M157" s="2"/>
      <c r="N157" s="2"/>
      <c r="O157" s="2"/>
      <c r="P157" s="2"/>
      <c r="Q157" s="2"/>
      <c r="R157" s="2"/>
      <c r="S157" s="79"/>
      <c r="T157" s="360" t="str">
        <f t="shared" si="41"/>
        <v/>
      </c>
      <c r="U157" s="360" t="str">
        <f t="shared" si="40"/>
        <v/>
      </c>
      <c r="V157" s="360" t="str">
        <f t="shared" si="40"/>
        <v/>
      </c>
      <c r="W157" s="360" t="str">
        <f t="shared" si="40"/>
        <v/>
      </c>
      <c r="X157" s="360" t="str">
        <f t="shared" si="40"/>
        <v/>
      </c>
      <c r="Y157" s="360" t="str">
        <f t="shared" si="40"/>
        <v/>
      </c>
      <c r="Z157" s="360" t="str">
        <f t="shared" si="40"/>
        <v/>
      </c>
      <c r="AA157" s="360" t="str">
        <f t="shared" si="40"/>
        <v/>
      </c>
      <c r="AB157" s="360" t="str">
        <f t="shared" si="40"/>
        <v/>
      </c>
      <c r="AC157" s="2"/>
      <c r="AD157" s="2"/>
      <c r="AG157" s="2"/>
      <c r="AH157" s="137"/>
    </row>
    <row r="158" spans="2:34">
      <c r="B158" s="360"/>
      <c r="C158" s="360"/>
      <c r="D158" s="360"/>
      <c r="E158" s="360"/>
      <c r="F158" s="360"/>
      <c r="G158" s="360"/>
      <c r="H158" s="360"/>
      <c r="I158" s="360"/>
      <c r="J158" s="363"/>
      <c r="K158" s="78"/>
      <c r="L158" s="2"/>
      <c r="M158" s="2"/>
      <c r="N158" s="2"/>
      <c r="O158" s="2"/>
      <c r="P158" s="2"/>
      <c r="Q158" s="2"/>
      <c r="R158" s="2"/>
      <c r="S158" s="79"/>
      <c r="T158" s="360" t="str">
        <f t="shared" si="41"/>
        <v/>
      </c>
      <c r="U158" s="360" t="str">
        <f t="shared" si="40"/>
        <v/>
      </c>
      <c r="V158" s="360" t="str">
        <f t="shared" si="40"/>
        <v/>
      </c>
      <c r="W158" s="360" t="str">
        <f t="shared" si="40"/>
        <v/>
      </c>
      <c r="X158" s="360" t="str">
        <f t="shared" si="40"/>
        <v/>
      </c>
      <c r="Y158" s="360" t="str">
        <f t="shared" si="40"/>
        <v/>
      </c>
      <c r="Z158" s="360" t="str">
        <f t="shared" si="40"/>
        <v/>
      </c>
      <c r="AA158" s="360" t="str">
        <f t="shared" si="40"/>
        <v/>
      </c>
      <c r="AB158" s="360" t="str">
        <f t="shared" si="40"/>
        <v/>
      </c>
      <c r="AC158" s="2"/>
      <c r="AD158" s="2"/>
      <c r="AG158" s="2"/>
      <c r="AH158" s="137"/>
    </row>
    <row r="159" spans="2:34">
      <c r="B159" s="360"/>
      <c r="C159" s="360"/>
      <c r="D159" s="360"/>
      <c r="E159" s="360"/>
      <c r="F159" s="360"/>
      <c r="G159" s="360"/>
      <c r="H159" s="360"/>
      <c r="I159" s="360"/>
      <c r="J159" s="363"/>
      <c r="K159" s="78"/>
      <c r="L159" s="2"/>
      <c r="M159" s="2"/>
      <c r="N159" s="2"/>
      <c r="O159" s="2"/>
      <c r="P159" s="2"/>
      <c r="Q159" s="2"/>
      <c r="R159" s="2"/>
      <c r="S159" s="79"/>
      <c r="T159" s="360" t="str">
        <f t="shared" si="41"/>
        <v/>
      </c>
      <c r="U159" s="360" t="str">
        <f t="shared" si="40"/>
        <v/>
      </c>
      <c r="V159" s="360" t="str">
        <f t="shared" si="40"/>
        <v/>
      </c>
      <c r="W159" s="360" t="str">
        <f t="shared" si="40"/>
        <v/>
      </c>
      <c r="X159" s="360" t="str">
        <f t="shared" si="40"/>
        <v/>
      </c>
      <c r="Y159" s="360" t="str">
        <f t="shared" si="40"/>
        <v/>
      </c>
      <c r="Z159" s="360" t="str">
        <f t="shared" si="40"/>
        <v/>
      </c>
      <c r="AA159" s="360" t="str">
        <f t="shared" si="40"/>
        <v/>
      </c>
      <c r="AB159" s="360" t="str">
        <f t="shared" si="40"/>
        <v/>
      </c>
      <c r="AC159" s="2"/>
      <c r="AD159" s="2"/>
      <c r="AG159" s="2"/>
      <c r="AH159" s="137"/>
    </row>
    <row r="160" spans="2:34">
      <c r="B160" s="360"/>
      <c r="C160" s="360"/>
      <c r="D160" s="360"/>
      <c r="E160" s="360"/>
      <c r="F160" s="360"/>
      <c r="G160" s="360"/>
      <c r="H160" s="360"/>
      <c r="I160" s="360"/>
      <c r="J160" s="363"/>
      <c r="K160" s="78"/>
      <c r="L160" s="2"/>
      <c r="M160" s="2"/>
      <c r="N160" s="2"/>
      <c r="O160" s="2"/>
      <c r="P160" s="2"/>
      <c r="Q160" s="2"/>
      <c r="R160" s="2"/>
      <c r="S160" s="79"/>
      <c r="T160" s="360" t="str">
        <f t="shared" si="41"/>
        <v/>
      </c>
      <c r="U160" s="360" t="str">
        <f t="shared" si="40"/>
        <v/>
      </c>
      <c r="V160" s="360" t="str">
        <f t="shared" si="40"/>
        <v/>
      </c>
      <c r="W160" s="360" t="str">
        <f t="shared" si="40"/>
        <v/>
      </c>
      <c r="X160" s="360" t="str">
        <f t="shared" si="40"/>
        <v/>
      </c>
      <c r="Y160" s="360" t="str">
        <f t="shared" si="40"/>
        <v/>
      </c>
      <c r="Z160" s="360" t="str">
        <f t="shared" si="40"/>
        <v/>
      </c>
      <c r="AA160" s="360" t="str">
        <f t="shared" si="40"/>
        <v/>
      </c>
      <c r="AB160" s="360" t="str">
        <f t="shared" si="40"/>
        <v/>
      </c>
      <c r="AC160" s="2"/>
      <c r="AD160" s="2"/>
      <c r="AG160" s="2"/>
      <c r="AH160" s="137"/>
    </row>
    <row r="161" spans="2:34">
      <c r="B161" s="360"/>
      <c r="C161" s="360"/>
      <c r="D161" s="360"/>
      <c r="E161" s="360"/>
      <c r="F161" s="360"/>
      <c r="G161" s="360"/>
      <c r="H161" s="360"/>
      <c r="I161" s="360"/>
      <c r="J161" s="363"/>
      <c r="K161" s="78"/>
      <c r="L161" s="2"/>
      <c r="M161" s="2"/>
      <c r="N161" s="2"/>
      <c r="O161" s="2"/>
      <c r="P161" s="2"/>
      <c r="Q161" s="2"/>
      <c r="R161" s="2"/>
      <c r="S161" s="79"/>
      <c r="T161" s="360" t="str">
        <f t="shared" si="41"/>
        <v/>
      </c>
      <c r="U161" s="360" t="str">
        <f t="shared" si="40"/>
        <v/>
      </c>
      <c r="V161" s="360" t="str">
        <f t="shared" si="40"/>
        <v/>
      </c>
      <c r="W161" s="360" t="str">
        <f t="shared" si="40"/>
        <v/>
      </c>
      <c r="X161" s="360" t="str">
        <f t="shared" si="40"/>
        <v/>
      </c>
      <c r="Y161" s="360" t="str">
        <f t="shared" si="40"/>
        <v/>
      </c>
      <c r="Z161" s="360" t="str">
        <f t="shared" si="40"/>
        <v/>
      </c>
      <c r="AA161" s="360" t="str">
        <f t="shared" si="40"/>
        <v/>
      </c>
      <c r="AB161" s="360" t="str">
        <f t="shared" si="40"/>
        <v/>
      </c>
      <c r="AC161" s="2"/>
      <c r="AD161" s="2"/>
      <c r="AG161" s="2"/>
      <c r="AH161" s="137"/>
    </row>
    <row r="162" spans="2:34">
      <c r="B162" s="360"/>
      <c r="C162" s="360"/>
      <c r="D162" s="360"/>
      <c r="E162" s="360"/>
      <c r="F162" s="360"/>
      <c r="G162" s="360"/>
      <c r="H162" s="360"/>
      <c r="I162" s="360"/>
      <c r="J162" s="363"/>
      <c r="K162" s="78"/>
      <c r="L162" s="2"/>
      <c r="M162" s="2"/>
      <c r="N162" s="2"/>
      <c r="O162" s="2"/>
      <c r="P162" s="2"/>
      <c r="Q162" s="2"/>
      <c r="R162" s="2"/>
      <c r="S162" s="79"/>
      <c r="T162" s="360" t="str">
        <f t="shared" si="41"/>
        <v/>
      </c>
      <c r="U162" s="360" t="str">
        <f t="shared" si="40"/>
        <v/>
      </c>
      <c r="V162" s="360" t="str">
        <f t="shared" si="40"/>
        <v/>
      </c>
      <c r="W162" s="360" t="str">
        <f t="shared" si="40"/>
        <v/>
      </c>
      <c r="X162" s="360" t="str">
        <f t="shared" si="40"/>
        <v/>
      </c>
      <c r="Y162" s="360" t="str">
        <f t="shared" si="40"/>
        <v/>
      </c>
      <c r="Z162" s="360" t="str">
        <f t="shared" si="40"/>
        <v/>
      </c>
      <c r="AA162" s="360" t="str">
        <f t="shared" si="40"/>
        <v/>
      </c>
      <c r="AB162" s="360" t="str">
        <f t="shared" si="40"/>
        <v/>
      </c>
      <c r="AC162" s="2"/>
      <c r="AD162" s="2"/>
      <c r="AG162" s="2"/>
      <c r="AH162" s="137"/>
    </row>
    <row r="163" spans="2:34">
      <c r="B163" s="360"/>
      <c r="C163" s="360"/>
      <c r="D163" s="360"/>
      <c r="E163" s="360"/>
      <c r="F163" s="360"/>
      <c r="G163" s="360"/>
      <c r="H163" s="360"/>
      <c r="I163" s="360"/>
      <c r="J163" s="363"/>
      <c r="K163" s="78"/>
      <c r="L163" s="2"/>
      <c r="M163" s="2"/>
      <c r="N163" s="2"/>
      <c r="O163" s="2"/>
      <c r="P163" s="2"/>
      <c r="Q163" s="2"/>
      <c r="R163" s="2"/>
      <c r="S163" s="79"/>
      <c r="T163" s="360" t="str">
        <f t="shared" si="41"/>
        <v/>
      </c>
      <c r="U163" s="360" t="str">
        <f t="shared" si="40"/>
        <v/>
      </c>
      <c r="V163" s="360" t="str">
        <f t="shared" si="40"/>
        <v/>
      </c>
      <c r="W163" s="360" t="str">
        <f t="shared" si="40"/>
        <v/>
      </c>
      <c r="X163" s="360" t="str">
        <f t="shared" si="40"/>
        <v/>
      </c>
      <c r="Y163" s="360" t="str">
        <f t="shared" si="40"/>
        <v/>
      </c>
      <c r="Z163" s="360" t="str">
        <f t="shared" si="40"/>
        <v/>
      </c>
      <c r="AA163" s="360" t="str">
        <f t="shared" si="40"/>
        <v/>
      </c>
      <c r="AB163" s="360" t="str">
        <f t="shared" si="40"/>
        <v/>
      </c>
      <c r="AC163" s="2"/>
      <c r="AD163" s="2"/>
      <c r="AG163" s="2"/>
      <c r="AH163" s="137"/>
    </row>
    <row r="164" spans="2:34">
      <c r="B164" s="78"/>
      <c r="C164" s="2"/>
      <c r="D164" s="2"/>
      <c r="E164" s="2"/>
      <c r="F164" s="2"/>
      <c r="G164" s="2"/>
      <c r="H164" s="2"/>
      <c r="I164" s="2"/>
      <c r="J164" s="2"/>
      <c r="K164" s="78"/>
      <c r="L164" s="2"/>
      <c r="M164" s="2"/>
      <c r="N164" s="2"/>
      <c r="O164" s="2"/>
      <c r="P164" s="2"/>
      <c r="Q164" s="2"/>
      <c r="R164" s="2"/>
      <c r="S164" s="79"/>
      <c r="T164" s="78"/>
      <c r="U164" s="2"/>
      <c r="V164" s="2"/>
      <c r="W164" s="2"/>
      <c r="X164" s="2"/>
      <c r="Y164" s="2"/>
      <c r="Z164" s="2"/>
      <c r="AA164" s="2"/>
      <c r="AB164" s="79"/>
      <c r="AC164" s="2"/>
      <c r="AD164" s="2"/>
      <c r="AG164" s="2"/>
      <c r="AH164" s="137"/>
    </row>
    <row r="165" spans="2:34">
      <c r="B165" s="78"/>
      <c r="C165" s="2"/>
      <c r="D165" s="2"/>
      <c r="E165" s="2"/>
      <c r="F165" s="2"/>
      <c r="G165" s="2"/>
      <c r="H165" s="2"/>
      <c r="I165" s="2"/>
      <c r="J165" s="2"/>
      <c r="K165" s="78"/>
      <c r="L165" s="2"/>
      <c r="M165" s="2"/>
      <c r="N165" s="2"/>
      <c r="O165" s="2"/>
      <c r="P165" s="2"/>
      <c r="Q165" s="2"/>
      <c r="R165" s="2"/>
      <c r="S165" s="79"/>
      <c r="T165" s="78"/>
      <c r="U165" s="2"/>
      <c r="V165" s="2"/>
      <c r="W165" s="2"/>
      <c r="X165" s="2"/>
      <c r="Y165" s="2"/>
      <c r="Z165" s="2"/>
      <c r="AA165" s="2"/>
      <c r="AB165" s="79"/>
      <c r="AC165" s="2"/>
      <c r="AD165" s="2"/>
      <c r="AG165" s="2"/>
      <c r="AH165" s="137"/>
    </row>
    <row r="166" spans="2:34">
      <c r="B166" s="358" t="s">
        <v>0</v>
      </c>
      <c r="C166" s="358" t="s">
        <v>1</v>
      </c>
      <c r="D166" s="358" t="s">
        <v>2</v>
      </c>
      <c r="E166" s="358" t="s">
        <v>3</v>
      </c>
      <c r="F166" s="358" t="s">
        <v>4</v>
      </c>
      <c r="G166" s="358" t="s">
        <v>5</v>
      </c>
      <c r="H166" s="358" t="s">
        <v>6</v>
      </c>
      <c r="I166" s="358" t="s">
        <v>7</v>
      </c>
      <c r="J166" s="361" t="s">
        <v>8</v>
      </c>
      <c r="K166" s="78"/>
      <c r="L166" s="2"/>
      <c r="M166" s="2"/>
      <c r="N166" s="2"/>
      <c r="O166" s="2"/>
      <c r="P166" s="2"/>
      <c r="Q166" s="2"/>
      <c r="R166" s="2"/>
      <c r="S166" s="79"/>
      <c r="T166" s="358" t="s">
        <v>0</v>
      </c>
      <c r="U166" s="358" t="s">
        <v>1</v>
      </c>
      <c r="V166" s="358" t="s">
        <v>2</v>
      </c>
      <c r="W166" s="358" t="s">
        <v>3</v>
      </c>
      <c r="X166" s="358" t="s">
        <v>4</v>
      </c>
      <c r="Y166" s="358" t="s">
        <v>5</v>
      </c>
      <c r="Z166" s="358" t="s">
        <v>6</v>
      </c>
      <c r="AA166" s="358" t="s">
        <v>7</v>
      </c>
      <c r="AB166" s="358" t="s">
        <v>8</v>
      </c>
      <c r="AC166" s="2"/>
      <c r="AD166" s="2"/>
      <c r="AG166" s="2"/>
      <c r="AH166" s="137"/>
    </row>
    <row r="167" spans="2:34">
      <c r="B167" s="150" t="str">
        <f>B150</f>
        <v>POLY4</v>
      </c>
      <c r="C167" s="150" t="str">
        <f t="shared" ref="C167:J167" si="42">C150</f>
        <v>Urea</v>
      </c>
      <c r="D167" s="150" t="str">
        <f t="shared" si="42"/>
        <v>DAP</v>
      </c>
      <c r="E167" s="150" t="str">
        <f t="shared" si="42"/>
        <v>MOP</v>
      </c>
      <c r="F167" s="150" t="str">
        <f t="shared" si="42"/>
        <v>Filler</v>
      </c>
      <c r="G167" s="150">
        <f t="shared" si="42"/>
        <v>0</v>
      </c>
      <c r="H167" s="150">
        <f t="shared" si="42"/>
        <v>0</v>
      </c>
      <c r="I167" s="150">
        <f t="shared" si="42"/>
        <v>0</v>
      </c>
      <c r="J167" s="150">
        <f t="shared" si="42"/>
        <v>0</v>
      </c>
      <c r="K167" s="78"/>
      <c r="L167" s="2"/>
      <c r="M167" s="2"/>
      <c r="N167" s="2"/>
      <c r="O167" s="2"/>
      <c r="P167" s="2"/>
      <c r="Q167" s="2"/>
      <c r="R167" s="2"/>
      <c r="S167" s="79"/>
      <c r="T167" s="360" t="str">
        <f>IF(B167=0,"",B167)</f>
        <v>POLY4</v>
      </c>
      <c r="U167" s="360" t="str">
        <f t="shared" ref="U167:AB175" si="43">IF(C167=0,"",C167)</f>
        <v>Urea</v>
      </c>
      <c r="V167" s="360" t="str">
        <f t="shared" si="43"/>
        <v>DAP</v>
      </c>
      <c r="W167" s="360" t="str">
        <f t="shared" si="43"/>
        <v>MOP</v>
      </c>
      <c r="X167" s="360" t="str">
        <f t="shared" si="43"/>
        <v>Filler</v>
      </c>
      <c r="Y167" s="360" t="str">
        <f t="shared" si="43"/>
        <v/>
      </c>
      <c r="Z167" s="360" t="str">
        <f t="shared" si="43"/>
        <v/>
      </c>
      <c r="AA167" s="360" t="str">
        <f t="shared" si="43"/>
        <v/>
      </c>
      <c r="AB167" s="360" t="str">
        <f t="shared" si="43"/>
        <v/>
      </c>
      <c r="AC167" s="2"/>
      <c r="AD167" s="2"/>
      <c r="AG167" s="2"/>
      <c r="AH167" s="137"/>
    </row>
    <row r="168" spans="2:34">
      <c r="B168" s="360"/>
      <c r="C168" s="360"/>
      <c r="D168" s="360"/>
      <c r="E168" s="360"/>
      <c r="F168" s="360"/>
      <c r="G168" s="360"/>
      <c r="H168" s="360"/>
      <c r="I168" s="360"/>
      <c r="J168" s="363"/>
      <c r="K168" s="78"/>
      <c r="L168" s="2"/>
      <c r="M168" s="2"/>
      <c r="N168" s="2"/>
      <c r="O168" s="2"/>
      <c r="P168" s="2"/>
      <c r="Q168" s="2"/>
      <c r="R168" s="2"/>
      <c r="S168" s="79"/>
      <c r="T168" s="360" t="str">
        <f t="shared" ref="T168:T175" si="44">IF(B168=0,"",B168)</f>
        <v/>
      </c>
      <c r="U168" s="360" t="str">
        <f t="shared" si="43"/>
        <v/>
      </c>
      <c r="V168" s="360" t="str">
        <f t="shared" si="43"/>
        <v/>
      </c>
      <c r="W168" s="360" t="str">
        <f t="shared" si="43"/>
        <v/>
      </c>
      <c r="X168" s="360" t="str">
        <f t="shared" si="43"/>
        <v/>
      </c>
      <c r="Y168" s="360" t="str">
        <f t="shared" si="43"/>
        <v/>
      </c>
      <c r="Z168" s="360" t="str">
        <f t="shared" si="43"/>
        <v/>
      </c>
      <c r="AA168" s="360" t="str">
        <f t="shared" si="43"/>
        <v/>
      </c>
      <c r="AB168" s="360" t="str">
        <f t="shared" si="43"/>
        <v/>
      </c>
      <c r="AC168" s="2"/>
      <c r="AD168" s="2"/>
      <c r="AG168" s="2"/>
      <c r="AH168" s="137"/>
    </row>
    <row r="169" spans="2:34">
      <c r="B169" s="360"/>
      <c r="C169" s="360"/>
      <c r="D169" s="360"/>
      <c r="E169" s="360"/>
      <c r="F169" s="360"/>
      <c r="G169" s="360"/>
      <c r="H169" s="360"/>
      <c r="I169" s="360"/>
      <c r="J169" s="363"/>
      <c r="K169" s="78"/>
      <c r="L169" s="2"/>
      <c r="M169" s="2"/>
      <c r="N169" s="2"/>
      <c r="O169" s="2"/>
      <c r="P169" s="2"/>
      <c r="Q169" s="2"/>
      <c r="R169" s="2"/>
      <c r="S169" s="79"/>
      <c r="T169" s="360" t="str">
        <f t="shared" si="44"/>
        <v/>
      </c>
      <c r="U169" s="360" t="str">
        <f t="shared" si="43"/>
        <v/>
      </c>
      <c r="V169" s="360" t="str">
        <f t="shared" si="43"/>
        <v/>
      </c>
      <c r="W169" s="360" t="str">
        <f t="shared" si="43"/>
        <v/>
      </c>
      <c r="X169" s="360" t="str">
        <f t="shared" si="43"/>
        <v/>
      </c>
      <c r="Y169" s="360" t="str">
        <f t="shared" si="43"/>
        <v/>
      </c>
      <c r="Z169" s="360" t="str">
        <f t="shared" si="43"/>
        <v/>
      </c>
      <c r="AA169" s="360" t="str">
        <f t="shared" si="43"/>
        <v/>
      </c>
      <c r="AB169" s="360" t="str">
        <f t="shared" si="43"/>
        <v/>
      </c>
      <c r="AC169" s="2"/>
      <c r="AD169" s="2"/>
      <c r="AG169" s="2"/>
      <c r="AH169" s="137"/>
    </row>
    <row r="170" spans="2:34">
      <c r="B170" s="360"/>
      <c r="C170" s="360"/>
      <c r="D170" s="360"/>
      <c r="E170" s="360"/>
      <c r="F170" s="360"/>
      <c r="G170" s="360"/>
      <c r="H170" s="360"/>
      <c r="I170" s="360"/>
      <c r="J170" s="363"/>
      <c r="K170" s="78"/>
      <c r="L170" s="2"/>
      <c r="M170" s="2"/>
      <c r="N170" s="2"/>
      <c r="O170" s="2"/>
      <c r="P170" s="2"/>
      <c r="Q170" s="2"/>
      <c r="R170" s="2"/>
      <c r="S170" s="79"/>
      <c r="T170" s="360" t="str">
        <f t="shared" si="44"/>
        <v/>
      </c>
      <c r="U170" s="360" t="str">
        <f t="shared" si="43"/>
        <v/>
      </c>
      <c r="V170" s="360" t="str">
        <f t="shared" si="43"/>
        <v/>
      </c>
      <c r="W170" s="360" t="str">
        <f t="shared" si="43"/>
        <v/>
      </c>
      <c r="X170" s="360" t="str">
        <f t="shared" si="43"/>
        <v/>
      </c>
      <c r="Y170" s="360" t="str">
        <f t="shared" si="43"/>
        <v/>
      </c>
      <c r="Z170" s="360" t="str">
        <f t="shared" si="43"/>
        <v/>
      </c>
      <c r="AA170" s="360" t="str">
        <f t="shared" si="43"/>
        <v/>
      </c>
      <c r="AB170" s="360" t="str">
        <f t="shared" si="43"/>
        <v/>
      </c>
      <c r="AC170" s="2"/>
      <c r="AD170" s="2"/>
      <c r="AG170" s="2"/>
      <c r="AH170" s="137"/>
    </row>
    <row r="171" spans="2:34">
      <c r="B171" s="360"/>
      <c r="C171" s="360"/>
      <c r="D171" s="360"/>
      <c r="E171" s="360"/>
      <c r="F171" s="360"/>
      <c r="G171" s="360"/>
      <c r="H171" s="360"/>
      <c r="I171" s="360"/>
      <c r="J171" s="363"/>
      <c r="K171" s="78"/>
      <c r="L171" s="2"/>
      <c r="M171" s="2"/>
      <c r="N171" s="2"/>
      <c r="O171" s="2"/>
      <c r="P171" s="2"/>
      <c r="Q171" s="2"/>
      <c r="R171" s="2"/>
      <c r="S171" s="79"/>
      <c r="T171" s="360" t="str">
        <f t="shared" si="44"/>
        <v/>
      </c>
      <c r="U171" s="360" t="str">
        <f t="shared" si="43"/>
        <v/>
      </c>
      <c r="V171" s="360" t="str">
        <f t="shared" si="43"/>
        <v/>
      </c>
      <c r="W171" s="360" t="str">
        <f t="shared" si="43"/>
        <v/>
      </c>
      <c r="X171" s="360" t="str">
        <f t="shared" si="43"/>
        <v/>
      </c>
      <c r="Y171" s="360" t="str">
        <f t="shared" si="43"/>
        <v/>
      </c>
      <c r="Z171" s="360" t="str">
        <f t="shared" si="43"/>
        <v/>
      </c>
      <c r="AA171" s="360" t="str">
        <f t="shared" si="43"/>
        <v/>
      </c>
      <c r="AB171" s="360" t="str">
        <f t="shared" si="43"/>
        <v/>
      </c>
      <c r="AC171" s="2"/>
      <c r="AD171" s="2"/>
      <c r="AG171" s="2"/>
      <c r="AH171" s="137"/>
    </row>
    <row r="172" spans="2:34">
      <c r="B172" s="360"/>
      <c r="C172" s="360"/>
      <c r="D172" s="360"/>
      <c r="E172" s="360"/>
      <c r="F172" s="360"/>
      <c r="G172" s="360"/>
      <c r="H172" s="360"/>
      <c r="I172" s="360"/>
      <c r="J172" s="363"/>
      <c r="K172" s="78"/>
      <c r="L172" s="2"/>
      <c r="M172" s="2"/>
      <c r="N172" s="2"/>
      <c r="O172" s="2"/>
      <c r="P172" s="2"/>
      <c r="Q172" s="2"/>
      <c r="R172" s="2"/>
      <c r="S172" s="79"/>
      <c r="T172" s="360" t="str">
        <f t="shared" si="44"/>
        <v/>
      </c>
      <c r="U172" s="360" t="str">
        <f t="shared" si="43"/>
        <v/>
      </c>
      <c r="V172" s="360" t="str">
        <f t="shared" si="43"/>
        <v/>
      </c>
      <c r="W172" s="360" t="str">
        <f t="shared" si="43"/>
        <v/>
      </c>
      <c r="X172" s="360" t="str">
        <f t="shared" si="43"/>
        <v/>
      </c>
      <c r="Y172" s="360" t="str">
        <f t="shared" si="43"/>
        <v/>
      </c>
      <c r="Z172" s="360" t="str">
        <f t="shared" si="43"/>
        <v/>
      </c>
      <c r="AA172" s="360" t="str">
        <f t="shared" si="43"/>
        <v/>
      </c>
      <c r="AB172" s="360" t="str">
        <f t="shared" si="43"/>
        <v/>
      </c>
      <c r="AC172" s="2"/>
      <c r="AD172" s="2"/>
      <c r="AG172" s="2"/>
      <c r="AH172" s="137"/>
    </row>
    <row r="173" spans="2:34">
      <c r="B173" s="360"/>
      <c r="C173" s="360"/>
      <c r="D173" s="360"/>
      <c r="E173" s="360"/>
      <c r="F173" s="360"/>
      <c r="G173" s="360"/>
      <c r="H173" s="360"/>
      <c r="I173" s="360"/>
      <c r="J173" s="363"/>
      <c r="K173" s="78"/>
      <c r="L173" s="2"/>
      <c r="M173" s="2"/>
      <c r="N173" s="2"/>
      <c r="O173" s="2"/>
      <c r="P173" s="2"/>
      <c r="Q173" s="2"/>
      <c r="R173" s="2"/>
      <c r="S173" s="79"/>
      <c r="T173" s="360" t="str">
        <f t="shared" si="44"/>
        <v/>
      </c>
      <c r="U173" s="360" t="str">
        <f t="shared" si="43"/>
        <v/>
      </c>
      <c r="V173" s="360" t="str">
        <f t="shared" si="43"/>
        <v/>
      </c>
      <c r="W173" s="360" t="str">
        <f t="shared" si="43"/>
        <v/>
      </c>
      <c r="X173" s="360" t="str">
        <f t="shared" si="43"/>
        <v/>
      </c>
      <c r="Y173" s="360" t="str">
        <f t="shared" si="43"/>
        <v/>
      </c>
      <c r="Z173" s="360" t="str">
        <f t="shared" si="43"/>
        <v/>
      </c>
      <c r="AA173" s="360" t="str">
        <f t="shared" si="43"/>
        <v/>
      </c>
      <c r="AB173" s="360" t="str">
        <f t="shared" si="43"/>
        <v/>
      </c>
      <c r="AC173" s="2"/>
      <c r="AD173" s="2"/>
      <c r="AG173" s="2"/>
      <c r="AH173" s="137"/>
    </row>
    <row r="174" spans="2:34">
      <c r="B174" s="360"/>
      <c r="C174" s="360"/>
      <c r="D174" s="360"/>
      <c r="E174" s="360"/>
      <c r="F174" s="360"/>
      <c r="G174" s="360"/>
      <c r="H174" s="360"/>
      <c r="I174" s="360"/>
      <c r="J174" s="363"/>
      <c r="K174" s="78"/>
      <c r="L174" s="2"/>
      <c r="M174" s="2"/>
      <c r="N174" s="2"/>
      <c r="O174" s="2"/>
      <c r="P174" s="2"/>
      <c r="Q174" s="2"/>
      <c r="R174" s="2"/>
      <c r="S174" s="79"/>
      <c r="T174" s="360" t="str">
        <f t="shared" si="44"/>
        <v/>
      </c>
      <c r="U174" s="360" t="str">
        <f t="shared" si="43"/>
        <v/>
      </c>
      <c r="V174" s="360" t="str">
        <f t="shared" si="43"/>
        <v/>
      </c>
      <c r="W174" s="360" t="str">
        <f t="shared" si="43"/>
        <v/>
      </c>
      <c r="X174" s="360" t="str">
        <f t="shared" si="43"/>
        <v/>
      </c>
      <c r="Y174" s="360" t="str">
        <f t="shared" si="43"/>
        <v/>
      </c>
      <c r="Z174" s="360" t="str">
        <f t="shared" si="43"/>
        <v/>
      </c>
      <c r="AA174" s="360" t="str">
        <f t="shared" si="43"/>
        <v/>
      </c>
      <c r="AB174" s="360" t="str">
        <f t="shared" si="43"/>
        <v/>
      </c>
      <c r="AC174" s="2"/>
      <c r="AD174" s="2"/>
      <c r="AG174" s="2"/>
      <c r="AH174" s="137"/>
    </row>
    <row r="175" spans="2:34">
      <c r="B175" s="360"/>
      <c r="C175" s="360"/>
      <c r="D175" s="360"/>
      <c r="E175" s="360"/>
      <c r="F175" s="360"/>
      <c r="G175" s="360"/>
      <c r="H175" s="360"/>
      <c r="I175" s="360"/>
      <c r="J175" s="363"/>
      <c r="K175" s="86"/>
      <c r="L175" s="87"/>
      <c r="M175" s="87"/>
      <c r="N175" s="87"/>
      <c r="O175" s="87"/>
      <c r="P175" s="87"/>
      <c r="Q175" s="87"/>
      <c r="R175" s="87"/>
      <c r="S175" s="88"/>
      <c r="T175" s="360" t="str">
        <f t="shared" si="44"/>
        <v/>
      </c>
      <c r="U175" s="360" t="str">
        <f t="shared" si="43"/>
        <v/>
      </c>
      <c r="V175" s="360" t="str">
        <f t="shared" si="43"/>
        <v/>
      </c>
      <c r="W175" s="360" t="str">
        <f t="shared" si="43"/>
        <v/>
      </c>
      <c r="X175" s="360" t="str">
        <f t="shared" si="43"/>
        <v/>
      </c>
      <c r="Y175" s="360" t="str">
        <f t="shared" si="43"/>
        <v/>
      </c>
      <c r="Z175" s="360" t="str">
        <f t="shared" si="43"/>
        <v/>
      </c>
      <c r="AA175" s="360" t="str">
        <f t="shared" si="43"/>
        <v/>
      </c>
      <c r="AB175" s="360" t="str">
        <f t="shared" si="43"/>
        <v/>
      </c>
      <c r="AC175" s="87"/>
      <c r="AD175" s="87"/>
      <c r="AE175" s="87"/>
      <c r="AF175" s="87"/>
      <c r="AG175" s="87"/>
      <c r="AH175" s="319"/>
    </row>
    <row r="176" spans="2:34">
      <c r="B176" s="129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364" t="str">
        <f>IF(B5=0,"",B5)</f>
        <v>Urea</v>
      </c>
      <c r="U176" s="364" t="str">
        <f t="shared" ref="U176:AB176" si="45">IF(C5=0,"",C5)</f>
        <v>DAP</v>
      </c>
      <c r="V176" s="364" t="str">
        <f t="shared" si="45"/>
        <v>MOP</v>
      </c>
      <c r="W176" s="364" t="str">
        <f t="shared" si="45"/>
        <v xml:space="preserve">Kieserite </v>
      </c>
      <c r="X176" s="364" t="str">
        <f t="shared" si="45"/>
        <v>Filler</v>
      </c>
      <c r="Y176" s="364" t="str">
        <f t="shared" si="45"/>
        <v/>
      </c>
      <c r="Z176" s="364" t="str">
        <f t="shared" si="45"/>
        <v/>
      </c>
      <c r="AA176" s="364" t="str">
        <f t="shared" si="45"/>
        <v/>
      </c>
      <c r="AB176" s="364" t="str">
        <f t="shared" si="45"/>
        <v/>
      </c>
      <c r="AC176" s="11"/>
      <c r="AD176" s="11"/>
      <c r="AE176" s="11"/>
      <c r="AF176" s="11"/>
      <c r="AG176" s="11"/>
      <c r="AH176" s="359"/>
    </row>
    <row r="177" spans="2:34">
      <c r="B177" s="86"/>
      <c r="C177" s="87"/>
      <c r="D177" s="87"/>
      <c r="E177" s="87"/>
      <c r="F177" s="87"/>
      <c r="G177" s="87"/>
      <c r="H177" s="87"/>
      <c r="I177" s="87"/>
      <c r="J177" s="87"/>
      <c r="K177" s="87"/>
      <c r="L177" s="87"/>
      <c r="M177" s="87"/>
      <c r="N177" s="87"/>
      <c r="O177" s="87"/>
      <c r="P177" s="87"/>
      <c r="Q177" s="87"/>
      <c r="R177" s="87"/>
      <c r="S177" s="87"/>
      <c r="T177" s="364">
        <f t="shared" ref="T177:AB177" si="46">IF(B7=0,"",B7)</f>
        <v>198.48771266540643</v>
      </c>
      <c r="U177" s="364">
        <f t="shared" si="46"/>
        <v>326.08695652173913</v>
      </c>
      <c r="V177" s="364">
        <f t="shared" si="46"/>
        <v>250.00000000000003</v>
      </c>
      <c r="W177" s="364" t="str">
        <f t="shared" si="46"/>
        <v/>
      </c>
      <c r="X177" s="364">
        <f t="shared" si="46"/>
        <v>225.42533081285441</v>
      </c>
      <c r="Y177" s="364" t="str">
        <f t="shared" si="46"/>
        <v/>
      </c>
      <c r="Z177" s="364" t="str">
        <f t="shared" si="46"/>
        <v/>
      </c>
      <c r="AA177" s="364" t="str">
        <f t="shared" si="46"/>
        <v/>
      </c>
      <c r="AB177" s="364" t="str">
        <f t="shared" si="46"/>
        <v/>
      </c>
      <c r="AC177" s="87"/>
      <c r="AD177" s="87"/>
      <c r="AE177" s="87"/>
      <c r="AF177" s="87"/>
      <c r="AG177" s="87"/>
      <c r="AH177" s="319"/>
    </row>
  </sheetData>
  <conditionalFormatting sqref="C55:K55">
    <cfRule type="cellIs" dxfId="67" priority="71" operator="greaterThan">
      <formula>0</formula>
    </cfRule>
  </conditionalFormatting>
  <conditionalFormatting sqref="C72:K72">
    <cfRule type="cellIs" dxfId="66" priority="70" operator="greaterThan">
      <formula>0</formula>
    </cfRule>
  </conditionalFormatting>
  <conditionalFormatting sqref="B41:N41">
    <cfRule type="cellIs" dxfId="65" priority="68" operator="greaterThanOrEqual">
      <formula>$D$14</formula>
    </cfRule>
    <cfRule type="cellIs" dxfId="64" priority="69" stopIfTrue="1" operator="lessThanOrEqual">
      <formula>$D$14</formula>
    </cfRule>
  </conditionalFormatting>
  <conditionalFormatting sqref="H32">
    <cfRule type="cellIs" dxfId="63" priority="67" stopIfTrue="1" operator="lessThan">
      <formula>0</formula>
    </cfRule>
  </conditionalFormatting>
  <conditionalFormatting sqref="K35">
    <cfRule type="cellIs" dxfId="62" priority="60" stopIfTrue="1" operator="greaterThanOrEqual">
      <formula>0.2</formula>
    </cfRule>
    <cfRule type="cellIs" dxfId="61" priority="66" operator="greaterThanOrEqual">
      <formula>20</formula>
    </cfRule>
  </conditionalFormatting>
  <conditionalFormatting sqref="M32">
    <cfRule type="cellIs" dxfId="60" priority="65" operator="greaterThan">
      <formula>0</formula>
    </cfRule>
  </conditionalFormatting>
  <conditionalFormatting sqref="B43:N43">
    <cfRule type="cellIs" dxfId="59" priority="64" operator="lessThanOrEqual">
      <formula>0</formula>
    </cfRule>
  </conditionalFormatting>
  <conditionalFormatting sqref="B45:N45">
    <cfRule type="cellIs" dxfId="58" priority="63" stopIfTrue="1" operator="greaterThanOrEqual">
      <formula>0.2</formula>
    </cfRule>
  </conditionalFormatting>
  <conditionalFormatting sqref="U13:U2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3:V25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2:U39">
    <cfRule type="cellIs" dxfId="57" priority="59" stopIfTrue="1" operator="lessThanOrEqual">
      <formula>$U$29</formula>
    </cfRule>
  </conditionalFormatting>
  <conditionalFormatting sqref="W32:W39">
    <cfRule type="cellIs" dxfId="56" priority="58" operator="lessThan">
      <formula>$B$28</formula>
    </cfRule>
  </conditionalFormatting>
  <conditionalFormatting sqref="X32:X39">
    <cfRule type="cellIs" dxfId="55" priority="57" operator="lessThan">
      <formula>$C$28</formula>
    </cfRule>
  </conditionalFormatting>
  <conditionalFormatting sqref="Y32:Y39">
    <cfRule type="cellIs" dxfId="54" priority="56" operator="lessThan">
      <formula>$D$28</formula>
    </cfRule>
  </conditionalFormatting>
  <conditionalFormatting sqref="B35">
    <cfRule type="cellIs" dxfId="53" priority="55" operator="lessThan">
      <formula>$B$28</formula>
    </cfRule>
  </conditionalFormatting>
  <conditionalFormatting sqref="C35">
    <cfRule type="cellIs" dxfId="52" priority="54" operator="lessThan">
      <formula>$C$28</formula>
    </cfRule>
  </conditionalFormatting>
  <conditionalFormatting sqref="D35">
    <cfRule type="cellIs" dxfId="51" priority="53" operator="lessThan">
      <formula>$D$28</formula>
    </cfRule>
  </conditionalFormatting>
  <conditionalFormatting sqref="B17">
    <cfRule type="cellIs" dxfId="50" priority="52" operator="lessThan">
      <formula>$B$10</formula>
    </cfRule>
  </conditionalFormatting>
  <conditionalFormatting sqref="C10">
    <cfRule type="cellIs" dxfId="49" priority="51" operator="lessThan">
      <formula>$C$10</formula>
    </cfRule>
  </conditionalFormatting>
  <conditionalFormatting sqref="D17">
    <cfRule type="cellIs" dxfId="48" priority="50" operator="lessThan">
      <formula>$D$10</formula>
    </cfRule>
  </conditionalFormatting>
  <conditionalFormatting sqref="C17">
    <cfRule type="cellIs" dxfId="47" priority="49" operator="lessThan">
      <formula>$C$10</formula>
    </cfRule>
  </conditionalFormatting>
  <conditionalFormatting sqref="V32:V39">
    <cfRule type="colorScale" priority="48">
      <colorScale>
        <cfvo type="min"/>
        <cfvo type="max"/>
        <color rgb="FFFFEF9C"/>
        <color rgb="FF63BE7B"/>
      </colorScale>
    </cfRule>
  </conditionalFormatting>
  <conditionalFormatting sqref="W13">
    <cfRule type="cellIs" dxfId="46" priority="47" operator="lessThan">
      <formula>$B$28</formula>
    </cfRule>
  </conditionalFormatting>
  <conditionalFormatting sqref="X13">
    <cfRule type="cellIs" dxfId="45" priority="46" operator="lessThan">
      <formula>$C$28</formula>
    </cfRule>
  </conditionalFormatting>
  <conditionalFormatting sqref="Y13">
    <cfRule type="cellIs" dxfId="44" priority="45" operator="lessThan">
      <formula>$D$28</formula>
    </cfRule>
  </conditionalFormatting>
  <conditionalFormatting sqref="W14">
    <cfRule type="cellIs" dxfId="43" priority="44" operator="lessThan">
      <formula>$B$28</formula>
    </cfRule>
  </conditionalFormatting>
  <conditionalFormatting sqref="X14">
    <cfRule type="cellIs" dxfId="42" priority="43" operator="lessThan">
      <formula>$C$28</formula>
    </cfRule>
  </conditionalFormatting>
  <conditionalFormatting sqref="Y14">
    <cfRule type="cellIs" dxfId="41" priority="42" operator="lessThan">
      <formula>$D$28</formula>
    </cfRule>
  </conditionalFormatting>
  <conditionalFormatting sqref="W15">
    <cfRule type="cellIs" dxfId="40" priority="41" operator="lessThan">
      <formula>$B$28</formula>
    </cfRule>
  </conditionalFormatting>
  <conditionalFormatting sqref="X15">
    <cfRule type="cellIs" dxfId="39" priority="40" operator="lessThan">
      <formula>$C$28</formula>
    </cfRule>
  </conditionalFormatting>
  <conditionalFormatting sqref="Y15">
    <cfRule type="cellIs" dxfId="38" priority="39" operator="lessThan">
      <formula>$D$28</formula>
    </cfRule>
  </conditionalFormatting>
  <conditionalFormatting sqref="W16">
    <cfRule type="cellIs" dxfId="37" priority="38" operator="lessThan">
      <formula>$B$28</formula>
    </cfRule>
  </conditionalFormatting>
  <conditionalFormatting sqref="X16">
    <cfRule type="cellIs" dxfId="36" priority="37" operator="lessThan">
      <formula>$C$28</formula>
    </cfRule>
  </conditionalFormatting>
  <conditionalFormatting sqref="Y16">
    <cfRule type="cellIs" dxfId="35" priority="36" operator="lessThan">
      <formula>$D$28</formula>
    </cfRule>
  </conditionalFormatting>
  <conditionalFormatting sqref="W17">
    <cfRule type="cellIs" dxfId="34" priority="35" operator="lessThan">
      <formula>$B$28</formula>
    </cfRule>
  </conditionalFormatting>
  <conditionalFormatting sqref="X17">
    <cfRule type="cellIs" dxfId="33" priority="34" operator="lessThan">
      <formula>$C$28</formula>
    </cfRule>
  </conditionalFormatting>
  <conditionalFormatting sqref="Y17">
    <cfRule type="cellIs" dxfId="32" priority="33" operator="lessThan">
      <formula>$D$28</formula>
    </cfRule>
  </conditionalFormatting>
  <conditionalFormatting sqref="W18">
    <cfRule type="cellIs" dxfId="31" priority="32" operator="lessThan">
      <formula>$B$28</formula>
    </cfRule>
  </conditionalFormatting>
  <conditionalFormatting sqref="X18">
    <cfRule type="cellIs" dxfId="30" priority="31" operator="lessThan">
      <formula>$C$28</formula>
    </cfRule>
  </conditionalFormatting>
  <conditionalFormatting sqref="Y18">
    <cfRule type="cellIs" dxfId="29" priority="30" operator="lessThan">
      <formula>$D$28</formula>
    </cfRule>
  </conditionalFormatting>
  <conditionalFormatting sqref="W19">
    <cfRule type="cellIs" dxfId="28" priority="29" operator="lessThan">
      <formula>$B$28</formula>
    </cfRule>
  </conditionalFormatting>
  <conditionalFormatting sqref="X19">
    <cfRule type="cellIs" dxfId="27" priority="28" operator="lessThan">
      <formula>$C$28</formula>
    </cfRule>
  </conditionalFormatting>
  <conditionalFormatting sqref="Y19">
    <cfRule type="cellIs" dxfId="26" priority="27" operator="lessThan">
      <formula>$D$28</formula>
    </cfRule>
  </conditionalFormatting>
  <conditionalFormatting sqref="W20">
    <cfRule type="cellIs" dxfId="25" priority="26" operator="lessThan">
      <formula>$B$28</formula>
    </cfRule>
  </conditionalFormatting>
  <conditionalFormatting sqref="X20">
    <cfRule type="cellIs" dxfId="24" priority="25" operator="lessThan">
      <formula>$C$28</formula>
    </cfRule>
  </conditionalFormatting>
  <conditionalFormatting sqref="Y20">
    <cfRule type="cellIs" dxfId="23" priority="24" operator="lessThan">
      <formula>$D$28</formula>
    </cfRule>
  </conditionalFormatting>
  <conditionalFormatting sqref="W21">
    <cfRule type="cellIs" dxfId="22" priority="23" operator="lessThan">
      <formula>$B$28</formula>
    </cfRule>
  </conditionalFormatting>
  <conditionalFormatting sqref="X21">
    <cfRule type="cellIs" dxfId="21" priority="22" operator="lessThan">
      <formula>$C$28</formula>
    </cfRule>
  </conditionalFormatting>
  <conditionalFormatting sqref="Y21">
    <cfRule type="cellIs" dxfId="20" priority="21" operator="lessThan">
      <formula>$D$28</formula>
    </cfRule>
  </conditionalFormatting>
  <conditionalFormatting sqref="W22">
    <cfRule type="cellIs" dxfId="19" priority="20" operator="lessThan">
      <formula>$B$28</formula>
    </cfRule>
  </conditionalFormatting>
  <conditionalFormatting sqref="X22">
    <cfRule type="cellIs" dxfId="18" priority="19" operator="lessThan">
      <formula>$C$28</formula>
    </cfRule>
  </conditionalFormatting>
  <conditionalFormatting sqref="Y22">
    <cfRule type="cellIs" dxfId="17" priority="18" operator="lessThan">
      <formula>$D$28</formula>
    </cfRule>
  </conditionalFormatting>
  <conditionalFormatting sqref="W23">
    <cfRule type="cellIs" dxfId="16" priority="17" operator="lessThan">
      <formula>$B$28</formula>
    </cfRule>
  </conditionalFormatting>
  <conditionalFormatting sqref="X23">
    <cfRule type="cellIs" dxfId="15" priority="16" operator="lessThan">
      <formula>$C$28</formula>
    </cfRule>
  </conditionalFormatting>
  <conditionalFormatting sqref="Y23">
    <cfRule type="cellIs" dxfId="14" priority="15" operator="lessThan">
      <formula>$D$28</formula>
    </cfRule>
  </conditionalFormatting>
  <conditionalFormatting sqref="W24">
    <cfRule type="cellIs" dxfId="13" priority="14" operator="lessThan">
      <formula>$B$28</formula>
    </cfRule>
  </conditionalFormatting>
  <conditionalFormatting sqref="X24">
    <cfRule type="cellIs" dxfId="12" priority="13" operator="lessThan">
      <formula>$C$28</formula>
    </cfRule>
  </conditionalFormatting>
  <conditionalFormatting sqref="Y24">
    <cfRule type="cellIs" dxfId="11" priority="12" operator="lessThan">
      <formula>$D$28</formula>
    </cfRule>
  </conditionalFormatting>
  <conditionalFormatting sqref="W25">
    <cfRule type="cellIs" dxfId="10" priority="11" operator="lessThan">
      <formula>$B$28</formula>
    </cfRule>
  </conditionalFormatting>
  <conditionalFormatting sqref="X25">
    <cfRule type="cellIs" dxfId="9" priority="10" operator="lessThan">
      <formula>$C$28</formula>
    </cfRule>
  </conditionalFormatting>
  <conditionalFormatting sqref="Y25">
    <cfRule type="cellIs" dxfId="8" priority="9" operator="lessThan">
      <formula>$D$28</formula>
    </cfRule>
  </conditionalFormatting>
  <conditionalFormatting sqref="S32">
    <cfRule type="cellIs" dxfId="7" priority="8" operator="lessThan">
      <formula>$O$39</formula>
    </cfRule>
  </conditionalFormatting>
  <conditionalFormatting sqref="S33">
    <cfRule type="cellIs" dxfId="6" priority="7" operator="lessThan">
      <formula>$O$40</formula>
    </cfRule>
  </conditionalFormatting>
  <conditionalFormatting sqref="S34">
    <cfRule type="cellIs" dxfId="5" priority="6" operator="lessThan">
      <formula>$O$41</formula>
    </cfRule>
  </conditionalFormatting>
  <conditionalFormatting sqref="S35">
    <cfRule type="cellIs" dxfId="4" priority="5" operator="lessThan">
      <formula>$O$42</formula>
    </cfRule>
  </conditionalFormatting>
  <conditionalFormatting sqref="S36">
    <cfRule type="cellIs" dxfId="3" priority="4" stopIfTrue="1" operator="lessThan">
      <formula>$O$43</formula>
    </cfRule>
  </conditionalFormatting>
  <conditionalFormatting sqref="S37">
    <cfRule type="cellIs" dxfId="2" priority="3" operator="lessThan">
      <formula>$O$44</formula>
    </cfRule>
  </conditionalFormatting>
  <conditionalFormatting sqref="S38">
    <cfRule type="cellIs" dxfId="1" priority="2" operator="lessThan">
      <formula>$O$45</formula>
    </cfRule>
  </conditionalFormatting>
  <conditionalFormatting sqref="S39">
    <cfRule type="cellIs" dxfId="0" priority="1" operator="lessThan">
      <formula>$O$46</formula>
    </cfRule>
  </conditionalFormatting>
  <dataValidations count="4">
    <dataValidation type="list" allowBlank="1" showInputMessage="1" showErrorMessage="1" sqref="B5:M5 C23:M23" xr:uid="{7EB3D839-FAA4-4D49-B07E-574E3EDD0B30}">
      <formula1>$C$96:$AC$96</formula1>
    </dataValidation>
    <dataValidation type="list" allowBlank="1" showInputMessage="1" showErrorMessage="1" sqref="K28" xr:uid="{5DF12239-5CF3-4DE2-9A28-FC5DBB884D9E}">
      <formula1>"Equal To, Greater Than"</formula1>
    </dataValidation>
    <dataValidation type="list" allowBlank="1" showInputMessage="1" showErrorMessage="1" sqref="B23" xr:uid="{3B171D86-AE2E-4EF3-8D1C-961BB4547BFF}">
      <formula1>"POLY4"</formula1>
    </dataValidation>
    <dataValidation type="list" allowBlank="1" showInputMessage="1" showErrorMessage="1" sqref="K14" xr:uid="{7F506CB6-BCD4-4F7A-BF3F-7E6FD5944E7D}">
      <formula1>"Less Than, Equal To, Greater Than, No Limit"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SolveForPOLYPrices">
          <controlPr defaultSize="0" autoLine="0" r:id="rId5">
            <anchor moveWithCells="1">
              <from>
                <xdr:col>5</xdr:col>
                <xdr:colOff>449580</xdr:colOff>
                <xdr:row>17</xdr:row>
                <xdr:rowOff>114300</xdr:rowOff>
              </from>
              <to>
                <xdr:col>7</xdr:col>
                <xdr:colOff>541020</xdr:colOff>
                <xdr:row>19</xdr:row>
                <xdr:rowOff>121920</xdr:rowOff>
              </to>
            </anchor>
          </controlPr>
        </control>
      </mc:Choice>
      <mc:Fallback>
        <control shapeId="5121" r:id="rId4" name="SolveForPOLYPrices"/>
      </mc:Fallback>
    </mc:AlternateContent>
    <mc:AlternateContent xmlns:mc="http://schemas.openxmlformats.org/markup-compatibility/2006">
      <mc:Choice Requires="x14">
        <control shapeId="5122" r:id="rId6" name="sbClearCellsOnlyData">
          <controlPr defaultSize="0" autoLine="0" r:id="rId7">
            <anchor moveWithCells="1">
              <from>
                <xdr:col>12</xdr:col>
                <xdr:colOff>190500</xdr:colOff>
                <xdr:row>17</xdr:row>
                <xdr:rowOff>114300</xdr:rowOff>
              </from>
              <to>
                <xdr:col>13</xdr:col>
                <xdr:colOff>716280</xdr:colOff>
                <xdr:row>19</xdr:row>
                <xdr:rowOff>114300</xdr:rowOff>
              </to>
            </anchor>
          </controlPr>
        </control>
      </mc:Choice>
      <mc:Fallback>
        <control shapeId="5122" r:id="rId6" name="sbClearCellsOnlyData"/>
      </mc:Fallback>
    </mc:AlternateContent>
    <mc:AlternateContent xmlns:mc="http://schemas.openxmlformats.org/markup-compatibility/2006">
      <mc:Choice Requires="x14">
        <control shapeId="5123" r:id="rId8" name="DetermineOptimumPOLY4Price">
          <controlPr defaultSize="0" autoLine="0" r:id="rId9">
            <anchor moveWithCells="1">
              <from>
                <xdr:col>2</xdr:col>
                <xdr:colOff>723900</xdr:colOff>
                <xdr:row>17</xdr:row>
                <xdr:rowOff>106680</xdr:rowOff>
              </from>
              <to>
                <xdr:col>5</xdr:col>
                <xdr:colOff>320040</xdr:colOff>
                <xdr:row>19</xdr:row>
                <xdr:rowOff>121920</xdr:rowOff>
              </to>
            </anchor>
          </controlPr>
        </control>
      </mc:Choice>
      <mc:Fallback>
        <control shapeId="5123" r:id="rId8" name="DetermineOptimumPOLY4Price"/>
      </mc:Fallback>
    </mc:AlternateContent>
    <mc:AlternateContent xmlns:mc="http://schemas.openxmlformats.org/markup-compatibility/2006">
      <mc:Choice Requires="x14">
        <control shapeId="5124" r:id="rId10" name="solveForPOLY4Inclusion">
          <controlPr defaultSize="0" autoLine="0" r:id="rId11">
            <anchor moveWithCells="1">
              <from>
                <xdr:col>7</xdr:col>
                <xdr:colOff>647700</xdr:colOff>
                <xdr:row>17</xdr:row>
                <xdr:rowOff>114300</xdr:rowOff>
              </from>
              <to>
                <xdr:col>10</xdr:col>
                <xdr:colOff>167640</xdr:colOff>
                <xdr:row>19</xdr:row>
                <xdr:rowOff>114300</xdr:rowOff>
              </to>
            </anchor>
          </controlPr>
        </control>
      </mc:Choice>
      <mc:Fallback>
        <control shapeId="5124" r:id="rId10" name="solveForPOLY4Inclusion"/>
      </mc:Fallback>
    </mc:AlternateContent>
    <mc:AlternateContent xmlns:mc="http://schemas.openxmlformats.org/markup-compatibility/2006">
      <mc:Choice Requires="x14">
        <control shapeId="5125" r:id="rId12" name="SolveStandardNPKBlend">
          <controlPr defaultSize="0" autoLine="0" r:id="rId13">
            <anchor moveWithCells="1">
              <from>
                <xdr:col>1</xdr:col>
                <xdr:colOff>7620</xdr:colOff>
                <xdr:row>17</xdr:row>
                <xdr:rowOff>106680</xdr:rowOff>
              </from>
              <to>
                <xdr:col>2</xdr:col>
                <xdr:colOff>647700</xdr:colOff>
                <xdr:row>19</xdr:row>
                <xdr:rowOff>121920</xdr:rowOff>
              </to>
            </anchor>
          </controlPr>
        </control>
      </mc:Choice>
      <mc:Fallback>
        <control shapeId="5125" r:id="rId12" name="SolveStandardNPKBlend"/>
      </mc:Fallback>
    </mc:AlternateContent>
    <mc:AlternateContent xmlns:mc="http://schemas.openxmlformats.org/markup-compatibility/2006">
      <mc:Choice Requires="x14">
        <control shapeId="5126" r:id="rId14" name="SaveResults">
          <controlPr defaultSize="0" autoLine="0" r:id="rId15">
            <anchor moveWithCells="1">
              <from>
                <xdr:col>10</xdr:col>
                <xdr:colOff>304800</xdr:colOff>
                <xdr:row>17</xdr:row>
                <xdr:rowOff>121920</xdr:rowOff>
              </from>
              <to>
                <xdr:col>12</xdr:col>
                <xdr:colOff>99060</xdr:colOff>
                <xdr:row>19</xdr:row>
                <xdr:rowOff>114300</xdr:rowOff>
              </to>
            </anchor>
          </controlPr>
        </control>
      </mc:Choice>
      <mc:Fallback>
        <control shapeId="5126" r:id="rId14" name="SaveResults"/>
      </mc:Fallback>
    </mc:AlternateContent>
    <mc:AlternateContent xmlns:mc="http://schemas.openxmlformats.org/markup-compatibility/2006">
      <mc:Choice Requires="x14">
        <control shapeId="5127" r:id="rId16" name="TextBox1">
          <controlPr defaultSize="0" autoLine="0" linkedCell="B2" r:id="rId17">
            <anchor moveWithCells="1">
              <from>
                <xdr:col>1</xdr:col>
                <xdr:colOff>30480</xdr:colOff>
                <xdr:row>1</xdr:row>
                <xdr:rowOff>22860</xdr:rowOff>
              </from>
              <to>
                <xdr:col>32</xdr:col>
                <xdr:colOff>30480</xdr:colOff>
                <xdr:row>1</xdr:row>
                <xdr:rowOff>205740</xdr:rowOff>
              </to>
            </anchor>
          </controlPr>
        </control>
      </mc:Choice>
      <mc:Fallback>
        <control shapeId="5127" r:id="rId16" name="TextBox1"/>
      </mc:Fallback>
    </mc:AlternateContent>
    <mc:AlternateContent xmlns:mc="http://schemas.openxmlformats.org/markup-compatibility/2006">
      <mc:Choice Requires="x14">
        <control shapeId="5128" r:id="rId18" name="ClearNPKData">
          <controlPr defaultSize="0" autoLine="0" r:id="rId19">
            <anchor moveWithCells="1">
              <from>
                <xdr:col>12</xdr:col>
                <xdr:colOff>182880</xdr:colOff>
                <xdr:row>20</xdr:row>
                <xdr:rowOff>30480</xdr:rowOff>
              </from>
              <to>
                <xdr:col>13</xdr:col>
                <xdr:colOff>701040</xdr:colOff>
                <xdr:row>21</xdr:row>
                <xdr:rowOff>220980</xdr:rowOff>
              </to>
            </anchor>
          </controlPr>
        </control>
      </mc:Choice>
      <mc:Fallback>
        <control shapeId="5128" r:id="rId18" name="ClearNPKData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C71BB38E0AEA419D6BA34D4405AACB" ma:contentTypeVersion="10" ma:contentTypeDescription="Create a new document." ma:contentTypeScope="" ma:versionID="0b8d62a06c76ec68a4f4e4ad4ffc5287">
  <xsd:schema xmlns:xsd="http://www.w3.org/2001/XMLSchema" xmlns:xs="http://www.w3.org/2001/XMLSchema" xmlns:p="http://schemas.microsoft.com/office/2006/metadata/properties" xmlns:ns2="c81c1685-ff58-4690-a428-d9a2dcf4e418" xmlns:ns3="4764d2ca-4437-4675-880b-f8bb47926cd6" targetNamespace="http://schemas.microsoft.com/office/2006/metadata/properties" ma:root="true" ma:fieldsID="66abb41aad774de8e94747b73c5f61db" ns2:_="" ns3:_="">
    <xsd:import namespace="c81c1685-ff58-4690-a428-d9a2dcf4e418"/>
    <xsd:import namespace="4764d2ca-4437-4675-880b-f8bb47926cd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1c1685-ff58-4690-a428-d9a2dcf4e41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64d2ca-4437-4675-880b-f8bb47926cd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4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71834B0-EF75-415A-A171-7B82A95429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1c1685-ff58-4690-a428-d9a2dcf4e418"/>
    <ds:schemaRef ds:uri="4764d2ca-4437-4675-880b-f8bb47926cd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BD8A5C5-0798-4E32-9227-E11C9709FB9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693B7D4-1F84-4DB2-97C7-07DC782FC99E}">
  <ds:schemaRefs>
    <ds:schemaRef ds:uri="http://purl.org/dc/terms/"/>
    <ds:schemaRef ds:uri="http://schemas.openxmlformats.org/package/2006/metadata/core-properties"/>
    <ds:schemaRef ds:uri="http://purl.org/dc/dcmitype/"/>
    <ds:schemaRef ds:uri="c81c1685-ff58-4690-a428-d9a2dcf4e418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office/infopath/2007/PartnerControls"/>
    <ds:schemaRef ds:uri="4764d2ca-4437-4675-880b-f8bb47926cd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 Info</vt:lpstr>
      <vt:lpstr>NPK LP Model</vt:lpstr>
      <vt:lpstr>Results_old</vt:lpstr>
      <vt:lpstr>Fertilizer Cost LP Model</vt:lpstr>
      <vt:lpstr>Print</vt:lpstr>
      <vt:lpstr>NPK_LP_Model_Mass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Kwadjo Ahodo</dc:creator>
  <cp:lastModifiedBy>Kwadjo Ahodo</cp:lastModifiedBy>
  <cp:lastPrinted>2019-09-25T13:09:14Z</cp:lastPrinted>
  <dcterms:created xsi:type="dcterms:W3CDTF">2018-03-27T10:58:31Z</dcterms:created>
  <dcterms:modified xsi:type="dcterms:W3CDTF">2019-09-25T15:22:29Z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0x010100C7C71BB38E0AEA419D6BA34D4405AACB</vt:lpwstr>
  </property>
</Properties>
</file>